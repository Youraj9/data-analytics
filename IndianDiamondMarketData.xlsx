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YOURAJ\OneDrive\Desktop\MCA\POWERBI\"/>
    </mc:Choice>
  </mc:AlternateContent>
  <xr:revisionPtr revIDLastSave="0" documentId="13_ncr:1_{1C54DFC7-4124-4ADA-830E-D714EB916B42}" xr6:coauthVersionLast="47" xr6:coauthVersionMax="47" xr10:uidLastSave="{00000000-0000-0000-0000-000000000000}"/>
  <bookViews>
    <workbookView xWindow="-110" yWindow="-110" windowWidth="19420" windowHeight="10300" activeTab="3" xr2:uid="{00000000-000D-0000-FFFF-FFFF00000000}"/>
  </bookViews>
  <sheets>
    <sheet name="Sheet1" sheetId="1" r:id="rId1"/>
    <sheet name="Sheet7" sheetId="7" r:id="rId2"/>
    <sheet name="Sheet2" sheetId="2" r:id="rId3"/>
    <sheet name="Sheet3" sheetId="3" r:id="rId4"/>
  </sheets>
  <definedNames>
    <definedName name="_xlchart.v1.0" hidden="1">Sheet1!$A$2:$B$161</definedName>
    <definedName name="_xlchart.v1.1" hidden="1">Sheet1!$C$1</definedName>
    <definedName name="_xlchart.v1.2" hidden="1">Sheet1!$C$2:$C$161</definedName>
    <definedName name="_xlchart.v1.3" hidden="1">Sheet1!$D$1</definedName>
    <definedName name="_xlchart.v1.4" hidden="1">Sheet1!$D$2:$D$161</definedName>
    <definedName name="_xlchart.v1.5" hidden="1">Sheet1!$E$1</definedName>
    <definedName name="_xlchart.v1.6" hidden="1">Sheet1!$E$2:$E$161</definedName>
    <definedName name="_xlchart.v1.7" hidden="1">Sheet1!$F$1</definedName>
    <definedName name="_xlchart.v1.8" hidden="1">Sheet1!$F$2:$F$161</definedName>
    <definedName name="Slicer_Company">#N/A</definedName>
    <definedName name="Slicer_Company_Name">#N/A</definedName>
    <definedName name="Slicer_State">#N/A</definedName>
    <definedName name="Slicer_Year">#N/A</definedName>
  </definedNames>
  <calcPr calcId="124519"/>
  <pivotCaches>
    <pivotCache cacheId="0"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5:slicerCaches>
    </ext>
  </extLst>
</workbook>
</file>

<file path=xl/sharedStrings.xml><?xml version="1.0" encoding="utf-8"?>
<sst xmlns="http://schemas.openxmlformats.org/spreadsheetml/2006/main" count="367" uniqueCount="37">
  <si>
    <t>Company Name</t>
  </si>
  <si>
    <t>State</t>
  </si>
  <si>
    <t>Price (INR per carat)</t>
  </si>
  <si>
    <t>Year</t>
  </si>
  <si>
    <t>Turnover (Million USD)</t>
  </si>
  <si>
    <t>Number of Employees</t>
  </si>
  <si>
    <t>Kohinoor Diamonds</t>
  </si>
  <si>
    <t>Rajratna Jewels</t>
  </si>
  <si>
    <t>Sona Chandi Ltd.</t>
  </si>
  <si>
    <t>Bharat Gems</t>
  </si>
  <si>
    <t>Shree Diamond Co.</t>
  </si>
  <si>
    <t>Arya Jewelers</t>
  </si>
  <si>
    <t>Navratna Creations</t>
  </si>
  <si>
    <t>Dhanraj Diamonds</t>
  </si>
  <si>
    <t>Precious Gems Pvt. Ltd.</t>
  </si>
  <si>
    <t>Ratan &amp; Sons</t>
  </si>
  <si>
    <t>JewelCraft India</t>
  </si>
  <si>
    <t>Spark India Diamonds</t>
  </si>
  <si>
    <t>Heera Jewelers</t>
  </si>
  <si>
    <t>Nirmal Diamonds</t>
  </si>
  <si>
    <t>Vajra Gems</t>
  </si>
  <si>
    <t>Royal Stones Ltd.</t>
  </si>
  <si>
    <t>Tamil Nadu</t>
  </si>
  <si>
    <t>Karnataka</t>
  </si>
  <si>
    <t>Rajasthan</t>
  </si>
  <si>
    <t>Gujarat</t>
  </si>
  <si>
    <t>Maharashtra</t>
  </si>
  <si>
    <t>West Bengal</t>
  </si>
  <si>
    <t>Company</t>
  </si>
  <si>
    <t>PRICE (2026)</t>
  </si>
  <si>
    <t>TURNOVER  IN MILLON (2025)</t>
  </si>
  <si>
    <t>TURNOVER IN MILLON(2026)</t>
  </si>
  <si>
    <t>PRICE PER CARAT (2025)</t>
  </si>
  <si>
    <t xml:space="preserve">      </t>
  </si>
  <si>
    <t>Column Labels</t>
  </si>
  <si>
    <t>Grand Total</t>
  </si>
  <si>
    <t>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</si>
</sst>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44" formatCode="_ &quot;₹&quot;\ * #,##0.00_ ;_ &quot;₹&quot;\ * \-#,##0.00_ ;_ &quot;₹&quot;\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center" wrapText="1"/>
    </xf>
    <xf numFmtId="0" fontId="1" fillId="0" borderId="0" xfId="0" applyFont="1" applyAlignment="1">
      <alignment vertical="center" wrapText="1"/>
    </xf>
    <xf numFmtId="6" fontId="0" fillId="0" borderId="0" xfId="0" applyNumberFormat="1"/>
    <xf numFmtId="6" fontId="0" fillId="0" borderId="0" xfId="0" applyNumberFormat="1" applyAlignment="1">
      <alignment vertical="center" wrapText="1"/>
    </xf>
    <xf numFmtId="0" fontId="1" fillId="0" borderId="1" xfId="1" applyNumberFormat="1" applyFont="1" applyBorder="1" applyAlignment="1">
      <alignment horizontal="center" vertical="top"/>
    </xf>
    <xf numFmtId="0" fontId="0" fillId="0" borderId="0" xfId="1" applyNumberFormat="1" applyFont="1"/>
    <xf numFmtId="0" fontId="0" fillId="0" borderId="0" xfId="0" applyAlignment="1">
      <alignment vertical="center" wrapText="1"/>
    </xf>
    <xf numFmtId="0" fontId="0" fillId="0" borderId="0" xfId="0" pivotButton="1"/>
  </cellXfs>
  <cellStyles count="2">
    <cellStyle name="Currency" xfId="1" builtinId="4"/>
    <cellStyle name="Normal" xfId="0" builtinId="0"/>
  </cellStyles>
  <dxfs count="11">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0" formatCode="&quot;₹&quot;\ #,##0;[Red]&quot;₹&quot;\ \-#,##0"/>
      <alignment horizontal="general" vertical="center" textRotation="0" wrapText="1" indent="0" justifyLastLine="0" shrinkToFit="0" readingOrder="0"/>
    </dxf>
    <dxf>
      <numFmt numFmtId="10" formatCode="&quot;₹&quot;\ #,##0;[Red]&quot;₹&quot;\ \-#,##0"/>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[IndianDiamondMarketData.xlsx]Sheet7!PivotTable124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2025</a:t>
            </a:r>
            <a:r>
              <a:rPr lang="en-IN" baseline="0"/>
              <a:t> company wise comparsion </a:t>
            </a:r>
            <a:endParaRPr lang="en-IN"/>
          </a:p>
        </c:rich>
      </c:tx>
      <c:layout>
        <c:manualLayout>
          <c:xMode val="edge"/>
          <c:yMode val="edge"/>
          <c:x val="0.28226949857586942"/>
          <c:y val="3.601633129192184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50000"/>
            </a:schemeClr>
          </a:solidFill>
          <a:ln>
            <a:noFill/>
          </a:ln>
          <a:effectLst/>
        </c:spPr>
      </c:pivotFmt>
    </c:pivotFmts>
    <c:plotArea>
      <c:layout/>
      <c:barChart>
        <c:barDir val="col"/>
        <c:grouping val="clustered"/>
        <c:varyColors val="0"/>
        <c:ser>
          <c:idx val="0"/>
          <c:order val="0"/>
          <c:tx>
            <c:strRef>
              <c:f>Sheet7!$B$1:$B$2</c:f>
              <c:strCache>
                <c:ptCount val="1"/>
                <c:pt idx="0">
                  <c:v>Arya Jewelers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Sheet7!$B$3</c:f>
              <c:numCache>
                <c:formatCode>"₹"#,##0_);[Red]\("₹"#,##0\)</c:formatCode>
                <c:ptCount val="1"/>
                <c:pt idx="0">
                  <c:v>76200</c:v>
                </c:pt>
              </c:numCache>
            </c:numRef>
          </c:val>
          <c:extLst>
            <c:ext xmlns:c16="http://schemas.microsoft.com/office/drawing/2014/chart" uri="{C3380CC4-5D6E-409C-BE32-E72D297353CC}">
              <c16:uniqueId val="{00000000-33C6-4AE2-8610-CEB435ED5D19}"/>
            </c:ext>
          </c:extLst>
        </c:ser>
        <c:ser>
          <c:idx val="1"/>
          <c:order val="1"/>
          <c:tx>
            <c:strRef>
              <c:f>Sheet7!$C$1:$C$2</c:f>
              <c:strCache>
                <c:ptCount val="1"/>
                <c:pt idx="0">
                  <c:v>Bharat Gems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Sheet7!$C$3</c:f>
              <c:numCache>
                <c:formatCode>"₹"#,##0_);[Red]\("₹"#,##0\)</c:formatCode>
                <c:ptCount val="1"/>
                <c:pt idx="0">
                  <c:v>65520</c:v>
                </c:pt>
              </c:numCache>
            </c:numRef>
          </c:val>
          <c:extLst>
            <c:ext xmlns:c16="http://schemas.microsoft.com/office/drawing/2014/chart" uri="{C3380CC4-5D6E-409C-BE32-E72D297353CC}">
              <c16:uniqueId val="{00000001-33C6-4AE2-8610-CEB435ED5D19}"/>
            </c:ext>
          </c:extLst>
        </c:ser>
        <c:ser>
          <c:idx val="2"/>
          <c:order val="2"/>
          <c:tx>
            <c:strRef>
              <c:f>Sheet7!$D$1:$D$2</c:f>
              <c:strCache>
                <c:ptCount val="1"/>
                <c:pt idx="0">
                  <c:v>Dhanraj Diamonds</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Sheet7!$D$3</c:f>
              <c:numCache>
                <c:formatCode>"₹"#,##0_);[Red]\("₹"#,##0\)</c:formatCode>
                <c:ptCount val="1"/>
                <c:pt idx="0">
                  <c:v>84600</c:v>
                </c:pt>
              </c:numCache>
            </c:numRef>
          </c:val>
          <c:extLst>
            <c:ext xmlns:c16="http://schemas.microsoft.com/office/drawing/2014/chart" uri="{C3380CC4-5D6E-409C-BE32-E72D297353CC}">
              <c16:uniqueId val="{00000002-33C6-4AE2-8610-CEB435ED5D19}"/>
            </c:ext>
          </c:extLst>
        </c:ser>
        <c:ser>
          <c:idx val="3"/>
          <c:order val="3"/>
          <c:tx>
            <c:strRef>
              <c:f>Sheet7!$E$1:$E$2</c:f>
              <c:strCache>
                <c:ptCount val="1"/>
                <c:pt idx="0">
                  <c:v>Heera Jewelers</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Sheet7!$E$3</c:f>
              <c:numCache>
                <c:formatCode>"₹"#,##0_);[Red]\("₹"#,##0\)</c:formatCode>
                <c:ptCount val="1"/>
                <c:pt idx="0">
                  <c:v>73400</c:v>
                </c:pt>
              </c:numCache>
            </c:numRef>
          </c:val>
          <c:extLst>
            <c:ext xmlns:c16="http://schemas.microsoft.com/office/drawing/2014/chart" uri="{C3380CC4-5D6E-409C-BE32-E72D297353CC}">
              <c16:uniqueId val="{00000003-33C6-4AE2-8610-CEB435ED5D19}"/>
            </c:ext>
          </c:extLst>
        </c:ser>
        <c:ser>
          <c:idx val="4"/>
          <c:order val="4"/>
          <c:tx>
            <c:strRef>
              <c:f>Sheet7!$F$1:$F$2</c:f>
              <c:strCache>
                <c:ptCount val="1"/>
                <c:pt idx="0">
                  <c:v>JewelCraft India</c:v>
                </c:pt>
              </c:strCache>
            </c:strRef>
          </c:tx>
          <c:spPr>
            <a:solidFill>
              <a:schemeClr val="accent4">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Sheet7!$F$3</c:f>
              <c:numCache>
                <c:formatCode>"₹"#,##0_);[Red]\("₹"#,##0\)</c:formatCode>
                <c:ptCount val="1"/>
                <c:pt idx="0">
                  <c:v>65000</c:v>
                </c:pt>
              </c:numCache>
            </c:numRef>
          </c:val>
          <c:extLst>
            <c:ext xmlns:c16="http://schemas.microsoft.com/office/drawing/2014/chart" uri="{C3380CC4-5D6E-409C-BE32-E72D297353CC}">
              <c16:uniqueId val="{00000004-33C6-4AE2-8610-CEB435ED5D19}"/>
            </c:ext>
          </c:extLst>
        </c:ser>
        <c:ser>
          <c:idx val="5"/>
          <c:order val="5"/>
          <c:tx>
            <c:strRef>
              <c:f>Sheet7!$G$1:$G$2</c:f>
              <c:strCache>
                <c:ptCount val="1"/>
                <c:pt idx="0">
                  <c:v>Kohinoor Diamonds</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Sheet7!$G$3</c:f>
              <c:numCache>
                <c:formatCode>"₹"#,##0_);[Red]\("₹"#,##0\)</c:formatCode>
                <c:ptCount val="1"/>
                <c:pt idx="0">
                  <c:v>82463</c:v>
                </c:pt>
              </c:numCache>
            </c:numRef>
          </c:val>
          <c:extLst>
            <c:ext xmlns:c16="http://schemas.microsoft.com/office/drawing/2014/chart" uri="{C3380CC4-5D6E-409C-BE32-E72D297353CC}">
              <c16:uniqueId val="{00000005-33C6-4AE2-8610-CEB435ED5D19}"/>
            </c:ext>
          </c:extLst>
        </c:ser>
        <c:ser>
          <c:idx val="6"/>
          <c:order val="6"/>
          <c:tx>
            <c:strRef>
              <c:f>Sheet7!$H$1:$H$2</c:f>
              <c:strCache>
                <c:ptCount val="1"/>
                <c:pt idx="0">
                  <c:v>Navratna Creations</c:v>
                </c:pt>
              </c:strCache>
            </c:strRef>
          </c:tx>
          <c:spPr>
            <a:solidFill>
              <a:schemeClr val="accent2">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Sheet7!$H$3</c:f>
              <c:numCache>
                <c:formatCode>"₹"#,##0_);[Red]\("₹"#,##0\)</c:formatCode>
                <c:ptCount val="1"/>
                <c:pt idx="0">
                  <c:v>88100</c:v>
                </c:pt>
              </c:numCache>
            </c:numRef>
          </c:val>
          <c:extLst>
            <c:ext xmlns:c16="http://schemas.microsoft.com/office/drawing/2014/chart" uri="{C3380CC4-5D6E-409C-BE32-E72D297353CC}">
              <c16:uniqueId val="{00000006-33C6-4AE2-8610-CEB435ED5D19}"/>
            </c:ext>
          </c:extLst>
        </c:ser>
        <c:ser>
          <c:idx val="7"/>
          <c:order val="7"/>
          <c:tx>
            <c:strRef>
              <c:f>Sheet7!$I$1:$I$2</c:f>
              <c:strCache>
                <c:ptCount val="1"/>
                <c:pt idx="0">
                  <c:v>Nirmal Diamonds</c:v>
                </c:pt>
              </c:strCache>
            </c:strRef>
          </c:tx>
          <c:spPr>
            <a:solidFill>
              <a:schemeClr val="accent4">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Sheet7!$I$3</c:f>
              <c:numCache>
                <c:formatCode>"₹"#,##0_);[Red]\("₹"#,##0\)</c:formatCode>
                <c:ptCount val="1"/>
                <c:pt idx="0">
                  <c:v>55000</c:v>
                </c:pt>
              </c:numCache>
            </c:numRef>
          </c:val>
          <c:extLst>
            <c:ext xmlns:c16="http://schemas.microsoft.com/office/drawing/2014/chart" uri="{C3380CC4-5D6E-409C-BE32-E72D297353CC}">
              <c16:uniqueId val="{00000007-33C6-4AE2-8610-CEB435ED5D19}"/>
            </c:ext>
          </c:extLst>
        </c:ser>
        <c:ser>
          <c:idx val="8"/>
          <c:order val="8"/>
          <c:tx>
            <c:strRef>
              <c:f>Sheet7!$J$1:$J$2</c:f>
              <c:strCache>
                <c:ptCount val="1"/>
                <c:pt idx="0">
                  <c:v>Precious Gems Pvt. Ltd.</c:v>
                </c:pt>
              </c:strCache>
            </c:strRef>
          </c:tx>
          <c:spPr>
            <a:solidFill>
              <a:schemeClr val="accent6">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Sheet7!$J$3</c:f>
              <c:numCache>
                <c:formatCode>"₹"#,##0_);[Red]\("₹"#,##0\)</c:formatCode>
                <c:ptCount val="1"/>
                <c:pt idx="0">
                  <c:v>76800</c:v>
                </c:pt>
              </c:numCache>
            </c:numRef>
          </c:val>
          <c:extLst>
            <c:ext xmlns:c16="http://schemas.microsoft.com/office/drawing/2014/chart" uri="{C3380CC4-5D6E-409C-BE32-E72D297353CC}">
              <c16:uniqueId val="{00000008-33C6-4AE2-8610-CEB435ED5D19}"/>
            </c:ext>
          </c:extLst>
        </c:ser>
        <c:ser>
          <c:idx val="9"/>
          <c:order val="9"/>
          <c:tx>
            <c:strRef>
              <c:f>Sheet7!$K$1:$K$2</c:f>
              <c:strCache>
                <c:ptCount val="1"/>
                <c:pt idx="0">
                  <c:v>Rajratna Jewels</c:v>
                </c:pt>
              </c:strCache>
            </c:strRef>
          </c:tx>
          <c:spPr>
            <a:solidFill>
              <a:schemeClr val="accent2">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Sheet7!$K$3</c:f>
              <c:numCache>
                <c:formatCode>"₹"#,##0_);[Red]\("₹"#,##0\)</c:formatCode>
                <c:ptCount val="1"/>
                <c:pt idx="0">
                  <c:v>80401</c:v>
                </c:pt>
              </c:numCache>
            </c:numRef>
          </c:val>
          <c:extLst>
            <c:ext xmlns:c16="http://schemas.microsoft.com/office/drawing/2014/chart" uri="{C3380CC4-5D6E-409C-BE32-E72D297353CC}">
              <c16:uniqueId val="{00000009-33C6-4AE2-8610-CEB435ED5D19}"/>
            </c:ext>
          </c:extLst>
        </c:ser>
        <c:ser>
          <c:idx val="10"/>
          <c:order val="10"/>
          <c:tx>
            <c:strRef>
              <c:f>Sheet7!$L$1:$L$2</c:f>
              <c:strCache>
                <c:ptCount val="1"/>
                <c:pt idx="0">
                  <c:v>Ratan &amp; Sons</c:v>
                </c:pt>
              </c:strCache>
            </c:strRef>
          </c:tx>
          <c:spPr>
            <a:solidFill>
              <a:schemeClr val="accent4">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Sheet7!$L$3</c:f>
              <c:numCache>
                <c:formatCode>"₹"#,##0_);[Red]\("₹"#,##0\)</c:formatCode>
                <c:ptCount val="1"/>
                <c:pt idx="0">
                  <c:v>62550</c:v>
                </c:pt>
              </c:numCache>
            </c:numRef>
          </c:val>
          <c:extLst>
            <c:ext xmlns:c16="http://schemas.microsoft.com/office/drawing/2014/chart" uri="{C3380CC4-5D6E-409C-BE32-E72D297353CC}">
              <c16:uniqueId val="{0000000A-33C6-4AE2-8610-CEB435ED5D19}"/>
            </c:ext>
          </c:extLst>
        </c:ser>
        <c:ser>
          <c:idx val="11"/>
          <c:order val="11"/>
          <c:tx>
            <c:strRef>
              <c:f>Sheet7!$M$1:$M$2</c:f>
              <c:strCache>
                <c:ptCount val="1"/>
                <c:pt idx="0">
                  <c:v>Royal Stones Ltd.</c:v>
                </c:pt>
              </c:strCache>
            </c:strRef>
          </c:tx>
          <c:spPr>
            <a:solidFill>
              <a:schemeClr val="accent6">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Sheet7!$M$3</c:f>
              <c:numCache>
                <c:formatCode>"₹"#,##0_);[Red]\("₹"#,##0\)</c:formatCode>
                <c:ptCount val="1"/>
                <c:pt idx="0">
                  <c:v>75100</c:v>
                </c:pt>
              </c:numCache>
            </c:numRef>
          </c:val>
          <c:extLst>
            <c:ext xmlns:c16="http://schemas.microsoft.com/office/drawing/2014/chart" uri="{C3380CC4-5D6E-409C-BE32-E72D297353CC}">
              <c16:uniqueId val="{0000000B-33C6-4AE2-8610-CEB435ED5D19}"/>
            </c:ext>
          </c:extLst>
        </c:ser>
        <c:ser>
          <c:idx val="12"/>
          <c:order val="12"/>
          <c:tx>
            <c:strRef>
              <c:f>Sheet7!$N$1:$N$2</c:f>
              <c:strCache>
                <c:ptCount val="1"/>
                <c:pt idx="0">
                  <c:v>Shree Diamond Co.</c:v>
                </c:pt>
              </c:strCache>
            </c:strRef>
          </c:tx>
          <c:spPr>
            <a:solidFill>
              <a:schemeClr val="accent2">
                <a:lumMod val="60000"/>
                <a:lumOff val="4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Sheet7!$N$3</c:f>
              <c:numCache>
                <c:formatCode>"₹"#,##0_);[Red]\("₹"#,##0\)</c:formatCode>
                <c:ptCount val="1"/>
                <c:pt idx="0">
                  <c:v>74200</c:v>
                </c:pt>
              </c:numCache>
            </c:numRef>
          </c:val>
          <c:extLst>
            <c:ext xmlns:c16="http://schemas.microsoft.com/office/drawing/2014/chart" uri="{C3380CC4-5D6E-409C-BE32-E72D297353CC}">
              <c16:uniqueId val="{0000000C-33C6-4AE2-8610-CEB435ED5D19}"/>
            </c:ext>
          </c:extLst>
        </c:ser>
        <c:ser>
          <c:idx val="13"/>
          <c:order val="13"/>
          <c:tx>
            <c:strRef>
              <c:f>Sheet7!$O$1:$O$2</c:f>
              <c:strCache>
                <c:ptCount val="1"/>
                <c:pt idx="0">
                  <c:v>Sona Chandi Ltd.</c:v>
                </c:pt>
              </c:strCache>
            </c:strRef>
          </c:tx>
          <c:spPr>
            <a:solidFill>
              <a:schemeClr val="accent4">
                <a:lumMod val="60000"/>
                <a:lumOff val="4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Sheet7!$O$3</c:f>
              <c:numCache>
                <c:formatCode>"₹"#,##0_);[Red]\("₹"#,##0\)</c:formatCode>
                <c:ptCount val="1"/>
                <c:pt idx="0">
                  <c:v>67080</c:v>
                </c:pt>
              </c:numCache>
            </c:numRef>
          </c:val>
          <c:extLst>
            <c:ext xmlns:c16="http://schemas.microsoft.com/office/drawing/2014/chart" uri="{C3380CC4-5D6E-409C-BE32-E72D297353CC}">
              <c16:uniqueId val="{0000000D-33C6-4AE2-8610-CEB435ED5D19}"/>
            </c:ext>
          </c:extLst>
        </c:ser>
        <c:ser>
          <c:idx val="14"/>
          <c:order val="14"/>
          <c:tx>
            <c:strRef>
              <c:f>Sheet7!$P$1:$P$2</c:f>
              <c:strCache>
                <c:ptCount val="1"/>
                <c:pt idx="0">
                  <c:v>Spark India Diamonds</c:v>
                </c:pt>
              </c:strCache>
            </c:strRef>
          </c:tx>
          <c:spPr>
            <a:solidFill>
              <a:schemeClr val="accent6">
                <a:lumMod val="60000"/>
                <a:lumOff val="4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Sheet7!$P$3</c:f>
              <c:numCache>
                <c:formatCode>"₹"#,##0_);[Red]\("₹"#,##0\)</c:formatCode>
                <c:ptCount val="1"/>
                <c:pt idx="0">
                  <c:v>65400</c:v>
                </c:pt>
              </c:numCache>
            </c:numRef>
          </c:val>
          <c:extLst>
            <c:ext xmlns:c16="http://schemas.microsoft.com/office/drawing/2014/chart" uri="{C3380CC4-5D6E-409C-BE32-E72D297353CC}">
              <c16:uniqueId val="{0000000E-33C6-4AE2-8610-CEB435ED5D19}"/>
            </c:ext>
          </c:extLst>
        </c:ser>
        <c:ser>
          <c:idx val="15"/>
          <c:order val="15"/>
          <c:tx>
            <c:strRef>
              <c:f>Sheet7!$Q$1:$Q$2</c:f>
              <c:strCache>
                <c:ptCount val="1"/>
                <c:pt idx="0">
                  <c:v>Vajra Gems</c:v>
                </c:pt>
              </c:strCache>
            </c:strRef>
          </c:tx>
          <c:spPr>
            <a:solidFill>
              <a:schemeClr val="accent2">
                <a:lumMod val="5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Sheet7!$Q$3</c:f>
              <c:numCache>
                <c:formatCode>"₹"#,##0_);[Red]\("₹"#,##0\)</c:formatCode>
                <c:ptCount val="1"/>
                <c:pt idx="0">
                  <c:v>65300</c:v>
                </c:pt>
              </c:numCache>
            </c:numRef>
          </c:val>
          <c:extLst>
            <c:ext xmlns:c16="http://schemas.microsoft.com/office/drawing/2014/chart" uri="{C3380CC4-5D6E-409C-BE32-E72D297353CC}">
              <c16:uniqueId val="{0000000F-33C6-4AE2-8610-CEB435ED5D19}"/>
            </c:ext>
          </c:extLst>
        </c:ser>
        <c:dLbls>
          <c:dLblPos val="outEnd"/>
          <c:showLegendKey val="0"/>
          <c:showVal val="1"/>
          <c:showCatName val="0"/>
          <c:showSerName val="0"/>
          <c:showPercent val="0"/>
          <c:showBubbleSize val="0"/>
        </c:dLbls>
        <c:gapWidth val="444"/>
        <c:overlap val="-90"/>
        <c:axId val="37824863"/>
        <c:axId val="37825343"/>
      </c:barChart>
      <c:catAx>
        <c:axId val="3782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7825343"/>
        <c:crosses val="autoZero"/>
        <c:auto val="1"/>
        <c:lblAlgn val="ctr"/>
        <c:lblOffset val="100"/>
        <c:noMultiLvlLbl val="0"/>
      </c:catAx>
      <c:valAx>
        <c:axId val="37825343"/>
        <c:scaling>
          <c:orientation val="minMax"/>
        </c:scaling>
        <c:delete val="0"/>
        <c:axPos val="l"/>
        <c:numFmt formatCode="&quot;₹&quot;#,##0_);[Red]\(&quot;₹&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4863"/>
        <c:crosses val="autoZero"/>
        <c:crossBetween val="between"/>
      </c:valAx>
      <c:spPr>
        <a:noFill/>
        <a:ln>
          <a:noFill/>
        </a:ln>
        <a:effectLst/>
      </c:spPr>
    </c:plotArea>
    <c:legend>
      <c:legendPos val="r"/>
      <c:layout>
        <c:manualLayout>
          <c:xMode val="edge"/>
          <c:yMode val="edge"/>
          <c:x val="0.8610337836823162"/>
          <c:y val="6.4014289880431605E-2"/>
          <c:w val="0.13133748141622156"/>
          <c:h val="0.88729330708661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TURNOVER OF COMPANIES </a:t>
            </a:r>
          </a:p>
        </c:rich>
      </c:tx>
      <c:layout>
        <c:manualLayout>
          <c:xMode val="edge"/>
          <c:yMode val="edge"/>
          <c:x val="0.30747496062992125"/>
          <c:y val="0"/>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7.864545869003596E-2"/>
          <c:y val="6.6827643801616571E-2"/>
          <c:w val="0.90698882988661911"/>
          <c:h val="0.54603722000804888"/>
        </c:manualLayout>
      </c:layout>
      <c:barChart>
        <c:barDir val="col"/>
        <c:grouping val="clustered"/>
        <c:varyColors val="0"/>
        <c:ser>
          <c:idx val="2"/>
          <c:order val="2"/>
          <c:tx>
            <c:strRef>
              <c:f>Sheet2!$D$1</c:f>
              <c:strCache>
                <c:ptCount val="1"/>
                <c:pt idx="0">
                  <c:v>TURNOVER  IN MILLON (2025)</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Sheet2!$A$2:$A$17</c:f>
              <c:strCache>
                <c:ptCount val="1"/>
                <c:pt idx="0">
                  <c:v>Shree Diamond Co.</c:v>
                </c:pt>
              </c:strCache>
            </c:strRef>
          </c:cat>
          <c:val>
            <c:numRef>
              <c:f>Sheet2!$D$2:$D$17</c:f>
              <c:numCache>
                <c:formatCode>General</c:formatCode>
                <c:ptCount val="1"/>
                <c:pt idx="0">
                  <c:v>12.5</c:v>
                </c:pt>
              </c:numCache>
            </c:numRef>
          </c:val>
          <c:extLst>
            <c:ext xmlns:c16="http://schemas.microsoft.com/office/drawing/2014/chart" uri="{C3380CC4-5D6E-409C-BE32-E72D297353CC}">
              <c16:uniqueId val="{00000000-F2D0-4353-8965-D21021C28206}"/>
            </c:ext>
          </c:extLst>
        </c:ser>
        <c:ser>
          <c:idx val="3"/>
          <c:order val="3"/>
          <c:tx>
            <c:strRef>
              <c:f>Sheet2!$E$1</c:f>
              <c:strCache>
                <c:ptCount val="1"/>
                <c:pt idx="0">
                  <c:v>TURNOVER IN MILLON(2026)</c:v>
                </c:pt>
              </c:strCache>
            </c:strRef>
          </c:tx>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invertIfNegative val="0"/>
          <c:cat>
            <c:strRef>
              <c:f>Sheet2!$A$2:$A$17</c:f>
              <c:strCache>
                <c:ptCount val="1"/>
                <c:pt idx="0">
                  <c:v>Shree Diamond Co.</c:v>
                </c:pt>
              </c:strCache>
            </c:strRef>
          </c:cat>
          <c:val>
            <c:numRef>
              <c:f>Sheet2!$E$2:$E$17</c:f>
              <c:numCache>
                <c:formatCode>General</c:formatCode>
                <c:ptCount val="1"/>
                <c:pt idx="0">
                  <c:v>13</c:v>
                </c:pt>
              </c:numCache>
            </c:numRef>
          </c:val>
          <c:extLst>
            <c:ext xmlns:c16="http://schemas.microsoft.com/office/drawing/2014/chart" uri="{C3380CC4-5D6E-409C-BE32-E72D297353CC}">
              <c16:uniqueId val="{00000001-F2D0-4353-8965-D21021C28206}"/>
            </c:ext>
          </c:extLst>
        </c:ser>
        <c:dLbls>
          <c:showLegendKey val="0"/>
          <c:showVal val="0"/>
          <c:showCatName val="0"/>
          <c:showSerName val="0"/>
          <c:showPercent val="0"/>
          <c:showBubbleSize val="0"/>
        </c:dLbls>
        <c:gapWidth val="100"/>
        <c:overlap val="-24"/>
        <c:axId val="271044879"/>
        <c:axId val="271042959"/>
        <c:extLst>
          <c:ext xmlns:c15="http://schemas.microsoft.com/office/drawing/2012/chart" uri="{02D57815-91ED-43cb-92C2-25804820EDAC}">
            <c15:filteredBarSeries>
              <c15:ser>
                <c:idx val="0"/>
                <c:order val="0"/>
                <c:tx>
                  <c:strRef>
                    <c:extLst>
                      <c:ext uri="{02D57815-91ED-43cb-92C2-25804820EDAC}">
                        <c15:formulaRef>
                          <c15:sqref>Sheet2!$B$1</c15:sqref>
                        </c15:formulaRef>
                      </c:ext>
                    </c:extLst>
                    <c:strCache>
                      <c:ptCount val="1"/>
                      <c:pt idx="0">
                        <c:v>PRICE PER CARAT (2025)</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extLst>
                      <c:ext uri="{02D57815-91ED-43cb-92C2-25804820EDAC}">
                        <c15:formulaRef>
                          <c15:sqref>Sheet2!$A$2:$A$17</c15:sqref>
                        </c15:formulaRef>
                      </c:ext>
                    </c:extLst>
                    <c:strCache>
                      <c:ptCount val="1"/>
                      <c:pt idx="0">
                        <c:v>Shree Diamond Co.</c:v>
                      </c:pt>
                    </c:strCache>
                  </c:strRef>
                </c:cat>
                <c:val>
                  <c:numRef>
                    <c:extLst>
                      <c:ext uri="{02D57815-91ED-43cb-92C2-25804820EDAC}">
                        <c15:formulaRef>
                          <c15:sqref>Sheet2!$B$2:$B$17</c15:sqref>
                        </c15:formulaRef>
                      </c:ext>
                    </c:extLst>
                    <c:numCache>
                      <c:formatCode>"₹"#,##0_);[Red]\("₹"#,##0\)</c:formatCode>
                      <c:ptCount val="1"/>
                      <c:pt idx="0">
                        <c:v>74200</c:v>
                      </c:pt>
                    </c:numCache>
                  </c:numRef>
                </c:val>
                <c:extLst>
                  <c:ext xmlns:c16="http://schemas.microsoft.com/office/drawing/2014/chart" uri="{C3380CC4-5D6E-409C-BE32-E72D297353CC}">
                    <c16:uniqueId val="{00000002-F2D0-4353-8965-D21021C28206}"/>
                  </c:ext>
                </c:extLst>
              </c15:ser>
            </c15:filteredBarSeries>
            <c15:filteredBarSeries>
              <c15:ser>
                <c:idx val="1"/>
                <c:order val="1"/>
                <c:tx>
                  <c:strRef>
                    <c:extLst>
                      <c:ext xmlns:c15="http://schemas.microsoft.com/office/drawing/2012/chart" uri="{02D57815-91ED-43cb-92C2-25804820EDAC}">
                        <c15:formulaRef>
                          <c15:sqref>Sheet2!$C$1</c15:sqref>
                        </c15:formulaRef>
                      </c:ext>
                    </c:extLst>
                    <c:strCache>
                      <c:ptCount val="1"/>
                      <c:pt idx="0">
                        <c:v>PRICE (2026)</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cat>
                  <c:strRef>
                    <c:extLst>
                      <c:ext xmlns:c15="http://schemas.microsoft.com/office/drawing/2012/chart" uri="{02D57815-91ED-43cb-92C2-25804820EDAC}">
                        <c15:formulaRef>
                          <c15:sqref>Sheet2!$A$2:$A$17</c15:sqref>
                        </c15:formulaRef>
                      </c:ext>
                    </c:extLst>
                    <c:strCache>
                      <c:ptCount val="1"/>
                      <c:pt idx="0">
                        <c:v>Shree Diamond Co.</c:v>
                      </c:pt>
                    </c:strCache>
                  </c:strRef>
                </c:cat>
                <c:val>
                  <c:numRef>
                    <c:extLst>
                      <c:ext xmlns:c15="http://schemas.microsoft.com/office/drawing/2012/chart" uri="{02D57815-91ED-43cb-92C2-25804820EDAC}">
                        <c15:formulaRef>
                          <c15:sqref>Sheet2!$C$2:$C$17</c15:sqref>
                        </c15:formulaRef>
                      </c:ext>
                    </c:extLst>
                    <c:numCache>
                      <c:formatCode>"₹"#,##0_);[Red]\("₹"#,##0\)</c:formatCode>
                      <c:ptCount val="1"/>
                      <c:pt idx="0">
                        <c:v>64350</c:v>
                      </c:pt>
                    </c:numCache>
                  </c:numRef>
                </c:val>
                <c:extLst xmlns:c15="http://schemas.microsoft.com/office/drawing/2012/chart">
                  <c:ext xmlns:c16="http://schemas.microsoft.com/office/drawing/2014/chart" uri="{C3380CC4-5D6E-409C-BE32-E72D297353CC}">
                    <c16:uniqueId val="{00000003-F2D0-4353-8965-D21021C28206}"/>
                  </c:ext>
                </c:extLst>
              </c15:ser>
            </c15:filteredBarSeries>
          </c:ext>
        </c:extLst>
      </c:barChart>
      <c:catAx>
        <c:axId val="27104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71042959"/>
        <c:crosses val="autoZero"/>
        <c:auto val="1"/>
        <c:lblAlgn val="ctr"/>
        <c:lblOffset val="100"/>
        <c:noMultiLvlLbl val="0"/>
      </c:catAx>
      <c:valAx>
        <c:axId val="27104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71044879"/>
        <c:crosses val="autoZero"/>
        <c:crossBetween val="between"/>
      </c:valAx>
      <c:spPr>
        <a:noFill/>
        <a:ln>
          <a:noFill/>
        </a:ln>
        <a:effectLst/>
      </c:spPr>
    </c:plotArea>
    <c:legend>
      <c:legendPos val="b"/>
      <c:layout>
        <c:manualLayout>
          <c:xMode val="edge"/>
          <c:yMode val="edge"/>
          <c:x val="0.22673927709061184"/>
          <c:y val="0.85171591521355994"/>
          <c:w val="0.49745338706902109"/>
          <c:h val="3.7417675143611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PRICE CHARTS OF DIAMOND</a:t>
            </a:r>
          </a:p>
        </c:rich>
      </c:tx>
      <c:layout>
        <c:manualLayout>
          <c:xMode val="edge"/>
          <c:yMode val="edge"/>
          <c:x val="0.36210191515498563"/>
          <c:y val="3.540070812624213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7.5267114906867688E-2"/>
          <c:y val="0.15531157507885174"/>
          <c:w val="0.91374611638112169"/>
          <c:h val="0.5278734872905988"/>
        </c:manualLayout>
      </c:layout>
      <c:barChart>
        <c:barDir val="col"/>
        <c:grouping val="clustered"/>
        <c:varyColors val="0"/>
        <c:ser>
          <c:idx val="0"/>
          <c:order val="0"/>
          <c:tx>
            <c:strRef>
              <c:f>Sheet2!$B$1</c:f>
              <c:strCache>
                <c:ptCount val="1"/>
                <c:pt idx="0">
                  <c:v>PRICE PER CARAT (2025)</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Sheet2!$A$2:$A$17</c:f>
              <c:strCache>
                <c:ptCount val="1"/>
                <c:pt idx="0">
                  <c:v>Shree Diamond Co.</c:v>
                </c:pt>
              </c:strCache>
            </c:strRef>
          </c:cat>
          <c:val>
            <c:numRef>
              <c:f>Sheet2!$B$2:$B$17</c:f>
              <c:numCache>
                <c:formatCode>"₹"#,##0_);[Red]\("₹"#,##0\)</c:formatCode>
                <c:ptCount val="1"/>
                <c:pt idx="0">
                  <c:v>74200</c:v>
                </c:pt>
              </c:numCache>
            </c:numRef>
          </c:val>
          <c:extLst>
            <c:ext xmlns:c16="http://schemas.microsoft.com/office/drawing/2014/chart" uri="{C3380CC4-5D6E-409C-BE32-E72D297353CC}">
              <c16:uniqueId val="{00000000-B76D-4F10-816B-91E2307773D0}"/>
            </c:ext>
          </c:extLst>
        </c:ser>
        <c:ser>
          <c:idx val="1"/>
          <c:order val="1"/>
          <c:tx>
            <c:strRef>
              <c:f>Sheet2!$C$1</c:f>
              <c:strCache>
                <c:ptCount val="1"/>
                <c:pt idx="0">
                  <c:v>PRICE (2026)</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Sheet2!$A$2:$A$17</c:f>
              <c:strCache>
                <c:ptCount val="1"/>
                <c:pt idx="0">
                  <c:v>Shree Diamond Co.</c:v>
                </c:pt>
              </c:strCache>
            </c:strRef>
          </c:cat>
          <c:val>
            <c:numRef>
              <c:f>Sheet2!$C$2:$C$17</c:f>
              <c:numCache>
                <c:formatCode>"₹"#,##0_);[Red]\("₹"#,##0\)</c:formatCode>
                <c:ptCount val="1"/>
                <c:pt idx="0">
                  <c:v>64350</c:v>
                </c:pt>
              </c:numCache>
            </c:numRef>
          </c:val>
          <c:extLst>
            <c:ext xmlns:c16="http://schemas.microsoft.com/office/drawing/2014/chart" uri="{C3380CC4-5D6E-409C-BE32-E72D297353CC}">
              <c16:uniqueId val="{00000001-B76D-4F10-816B-91E2307773D0}"/>
            </c:ext>
          </c:extLst>
        </c:ser>
        <c:dLbls>
          <c:showLegendKey val="0"/>
          <c:showVal val="0"/>
          <c:showCatName val="0"/>
          <c:showSerName val="0"/>
          <c:showPercent val="0"/>
          <c:showBubbleSize val="0"/>
        </c:dLbls>
        <c:gapWidth val="164"/>
        <c:overlap val="-22"/>
        <c:axId val="47302495"/>
        <c:axId val="47304895"/>
        <c:extLst>
          <c:ext xmlns:c15="http://schemas.microsoft.com/office/drawing/2012/chart" uri="{02D57815-91ED-43cb-92C2-25804820EDAC}">
            <c15:filteredBarSeries>
              <c15:ser>
                <c:idx val="2"/>
                <c:order val="2"/>
                <c:tx>
                  <c:strRef>
                    <c:extLst>
                      <c:ext uri="{02D57815-91ED-43cb-92C2-25804820EDAC}">
                        <c15:formulaRef>
                          <c15:sqref>Sheet2!$D$1</c15:sqref>
                        </c15:formulaRef>
                      </c:ext>
                    </c:extLst>
                    <c:strCache>
                      <c:ptCount val="1"/>
                      <c:pt idx="0">
                        <c:v>TURNOVER  IN MILLON (2025)</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extLst>
                      <c:ext uri="{02D57815-91ED-43cb-92C2-25804820EDAC}">
                        <c15:formulaRef>
                          <c15:sqref>Sheet2!$A$2:$A$17</c15:sqref>
                        </c15:formulaRef>
                      </c:ext>
                    </c:extLst>
                    <c:strCache>
                      <c:ptCount val="1"/>
                      <c:pt idx="0">
                        <c:v>Shree Diamond Co.</c:v>
                      </c:pt>
                    </c:strCache>
                  </c:strRef>
                </c:cat>
                <c:val>
                  <c:numRef>
                    <c:extLst>
                      <c:ext uri="{02D57815-91ED-43cb-92C2-25804820EDAC}">
                        <c15:formulaRef>
                          <c15:sqref>Sheet2!$D$2:$D$17</c15:sqref>
                        </c15:formulaRef>
                      </c:ext>
                    </c:extLst>
                    <c:numCache>
                      <c:formatCode>General</c:formatCode>
                      <c:ptCount val="1"/>
                      <c:pt idx="0">
                        <c:v>12.5</c:v>
                      </c:pt>
                    </c:numCache>
                  </c:numRef>
                </c:val>
                <c:extLst>
                  <c:ext xmlns:c16="http://schemas.microsoft.com/office/drawing/2014/chart" uri="{C3380CC4-5D6E-409C-BE32-E72D297353CC}">
                    <c16:uniqueId val="{00000002-B76D-4F10-816B-91E2307773D0}"/>
                  </c:ext>
                </c:extLst>
              </c15:ser>
            </c15:filteredBarSeries>
            <c15:filteredBarSeries>
              <c15:ser>
                <c:idx val="3"/>
                <c:order val="3"/>
                <c:tx>
                  <c:strRef>
                    <c:extLst>
                      <c:ext xmlns:c15="http://schemas.microsoft.com/office/drawing/2012/chart" uri="{02D57815-91ED-43cb-92C2-25804820EDAC}">
                        <c15:formulaRef>
                          <c15:sqref>Sheet2!$E$1</c15:sqref>
                        </c15:formulaRef>
                      </c:ext>
                    </c:extLst>
                    <c:strCache>
                      <c:ptCount val="1"/>
                      <c:pt idx="0">
                        <c:v>TURNOVER IN MILLON(2026)</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extLst>
                      <c:ext xmlns:c15="http://schemas.microsoft.com/office/drawing/2012/chart" uri="{02D57815-91ED-43cb-92C2-25804820EDAC}">
                        <c15:formulaRef>
                          <c15:sqref>Sheet2!$A$2:$A$17</c15:sqref>
                        </c15:formulaRef>
                      </c:ext>
                    </c:extLst>
                    <c:strCache>
                      <c:ptCount val="1"/>
                      <c:pt idx="0">
                        <c:v>Shree Diamond Co.</c:v>
                      </c:pt>
                    </c:strCache>
                  </c:strRef>
                </c:cat>
                <c:val>
                  <c:numRef>
                    <c:extLst>
                      <c:ext xmlns:c15="http://schemas.microsoft.com/office/drawing/2012/chart" uri="{02D57815-91ED-43cb-92C2-25804820EDAC}">
                        <c15:formulaRef>
                          <c15:sqref>Sheet2!$E$2:$E$17</c15:sqref>
                        </c15:formulaRef>
                      </c:ext>
                    </c:extLst>
                    <c:numCache>
                      <c:formatCode>General</c:formatCode>
                      <c:ptCount val="1"/>
                      <c:pt idx="0">
                        <c:v>13</c:v>
                      </c:pt>
                    </c:numCache>
                  </c:numRef>
                </c:val>
                <c:extLst xmlns:c15="http://schemas.microsoft.com/office/drawing/2012/chart">
                  <c:ext xmlns:c16="http://schemas.microsoft.com/office/drawing/2014/chart" uri="{C3380CC4-5D6E-409C-BE32-E72D297353CC}">
                    <c16:uniqueId val="{00000003-B76D-4F10-816B-91E2307773D0}"/>
                  </c:ext>
                </c:extLst>
              </c15:ser>
            </c15:filteredBarSeries>
          </c:ext>
        </c:extLst>
      </c:barChart>
      <c:catAx>
        <c:axId val="473024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04895"/>
        <c:crosses val="autoZero"/>
        <c:auto val="1"/>
        <c:lblAlgn val="ctr"/>
        <c:lblOffset val="100"/>
        <c:noMultiLvlLbl val="0"/>
      </c:catAx>
      <c:valAx>
        <c:axId val="4730489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02495"/>
        <c:crosses val="autoZero"/>
        <c:crossBetween val="between"/>
      </c:valAx>
      <c:spPr>
        <a:noFill/>
        <a:ln>
          <a:noFill/>
        </a:ln>
        <a:effectLst/>
      </c:spPr>
    </c:plotArea>
    <c:legend>
      <c:legendPos val="r"/>
      <c:layout>
        <c:manualLayout>
          <c:xMode val="edge"/>
          <c:yMode val="edge"/>
          <c:x val="0.13709045210532952"/>
          <c:y val="0.85955447991262124"/>
          <c:w val="0.61741084530974866"/>
          <c:h val="7.74846152650267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[IndianDiamondMarketData.xlsx]Sheet7!PivotTable124</c:name>
    <c:fmtId val="2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2025</a:t>
            </a:r>
            <a:r>
              <a:rPr lang="en-IN" baseline="0"/>
              <a:t> company wise comparsion </a:t>
            </a:r>
            <a:endParaRPr lang="en-IN"/>
          </a:p>
        </c:rich>
      </c:tx>
      <c:layout>
        <c:manualLayout>
          <c:xMode val="edge"/>
          <c:yMode val="edge"/>
          <c:x val="0.28608386602660046"/>
          <c:y val="3.13867016622922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square"/>
          <c:size val="6"/>
          <c:spPr>
            <a:solidFill>
              <a:schemeClr val="accent4"/>
            </a:solid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x"/>
          <c:size val="6"/>
          <c:spPr>
            <a:noFill/>
            <a:ln w="9525">
              <a:solidFill>
                <a:schemeClr val="accent2">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star"/>
          <c:size val="6"/>
          <c:spPr>
            <a:noFill/>
            <a:ln w="9525">
              <a:solidFill>
                <a:schemeClr val="accent4">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6"/>
          <c:spPr>
            <a:solidFill>
              <a:schemeClr val="accent6">
                <a:lumMod val="60000"/>
              </a:schemeClr>
            </a:solidFill>
            <a:ln w="9525">
              <a:solidFill>
                <a:schemeClr val="accent6">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plus"/>
          <c:size val="6"/>
          <c:spPr>
            <a:noFill/>
            <a:ln w="9525">
              <a:solidFill>
                <a:schemeClr val="accent2">
                  <a:lumMod val="80000"/>
                  <a:lumOff val="2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dot"/>
          <c:size val="6"/>
          <c:spPr>
            <a:solidFill>
              <a:schemeClr val="accent4">
                <a:lumMod val="80000"/>
                <a:lumOff val="20000"/>
              </a:schemeClr>
            </a:solidFill>
            <a:ln w="9525">
              <a:solidFill>
                <a:schemeClr val="accent4">
                  <a:lumMod val="80000"/>
                  <a:lumOff val="2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dash"/>
          <c:size val="6"/>
          <c:spPr>
            <a:solidFill>
              <a:schemeClr val="accent6">
                <a:lumMod val="80000"/>
                <a:lumOff val="20000"/>
              </a:schemeClr>
            </a:solidFill>
            <a:ln w="9525">
              <a:solidFill>
                <a:schemeClr val="accent6">
                  <a:lumMod val="80000"/>
                  <a:lumOff val="2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diamond"/>
          <c:size val="6"/>
          <c:spPr>
            <a:solidFill>
              <a:schemeClr val="accent2">
                <a:lumMod val="80000"/>
              </a:schemeClr>
            </a:solidFill>
            <a:ln w="9525">
              <a:solidFill>
                <a:schemeClr val="accent2">
                  <a:lumMod val="8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square"/>
          <c:size val="6"/>
          <c:spPr>
            <a:solidFill>
              <a:schemeClr val="accent4">
                <a:lumMod val="80000"/>
              </a:schemeClr>
            </a:solidFill>
            <a:ln w="9525">
              <a:solidFill>
                <a:schemeClr val="accent4">
                  <a:lumMod val="8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triangle"/>
          <c:size val="6"/>
          <c:spPr>
            <a:solidFill>
              <a:schemeClr val="accent6">
                <a:lumMod val="80000"/>
              </a:schemeClr>
            </a:solidFill>
            <a:ln w="9525">
              <a:solidFill>
                <a:schemeClr val="accent6">
                  <a:lumMod val="8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x"/>
          <c:size val="6"/>
          <c:spPr>
            <a:noFill/>
            <a:ln w="9525">
              <a:solidFill>
                <a:schemeClr val="accent2">
                  <a:lumMod val="60000"/>
                  <a:lumOff val="4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star"/>
          <c:size val="6"/>
          <c:spPr>
            <a:noFill/>
            <a:ln w="9525">
              <a:solidFill>
                <a:schemeClr val="accent4">
                  <a:lumMod val="60000"/>
                  <a:lumOff val="4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circle"/>
          <c:size val="6"/>
          <c:spPr>
            <a:solidFill>
              <a:schemeClr val="accent6">
                <a:lumMod val="60000"/>
                <a:lumOff val="40000"/>
              </a:schemeClr>
            </a:solidFill>
            <a:ln w="9525">
              <a:solidFill>
                <a:schemeClr val="accent6">
                  <a:lumMod val="60000"/>
                  <a:lumOff val="4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plus"/>
          <c:size val="6"/>
          <c:spPr>
            <a:noFill/>
            <a:ln w="9525">
              <a:solidFill>
                <a:schemeClr val="accent2">
                  <a:lumMod val="5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50000"/>
            </a:schemeClr>
          </a:solidFill>
          <a:ln>
            <a:noFill/>
          </a:ln>
          <a:effectLst/>
        </c:spPr>
      </c:pivotFmt>
      <c:pivotFmt>
        <c:idx val="17"/>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Sheet7!$B$1:$B$2</c:f>
              <c:strCache>
                <c:ptCount val="1"/>
                <c:pt idx="0">
                  <c:v>Arya Jewelers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Sheet7!$B$3</c:f>
              <c:numCache>
                <c:formatCode>"₹"#,##0_);[Red]\("₹"#,##0\)</c:formatCode>
                <c:ptCount val="1"/>
                <c:pt idx="0">
                  <c:v>76200</c:v>
                </c:pt>
              </c:numCache>
            </c:numRef>
          </c:val>
          <c:extLst>
            <c:ext xmlns:c16="http://schemas.microsoft.com/office/drawing/2014/chart" uri="{C3380CC4-5D6E-409C-BE32-E72D297353CC}">
              <c16:uniqueId val="{00000000-4372-43D4-9336-B8EBF422F9A0}"/>
            </c:ext>
          </c:extLst>
        </c:ser>
        <c:ser>
          <c:idx val="1"/>
          <c:order val="1"/>
          <c:tx>
            <c:strRef>
              <c:f>Sheet7!$C$1:$C$2</c:f>
              <c:strCache>
                <c:ptCount val="1"/>
                <c:pt idx="0">
                  <c:v>Bharat Gems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Sheet7!$C$3</c:f>
              <c:numCache>
                <c:formatCode>"₹"#,##0_);[Red]\("₹"#,##0\)</c:formatCode>
                <c:ptCount val="1"/>
                <c:pt idx="0">
                  <c:v>65520</c:v>
                </c:pt>
              </c:numCache>
            </c:numRef>
          </c:val>
          <c:extLst>
            <c:ext xmlns:c16="http://schemas.microsoft.com/office/drawing/2014/chart" uri="{C3380CC4-5D6E-409C-BE32-E72D297353CC}">
              <c16:uniqueId val="{00000001-4372-43D4-9336-B8EBF422F9A0}"/>
            </c:ext>
          </c:extLst>
        </c:ser>
        <c:ser>
          <c:idx val="2"/>
          <c:order val="2"/>
          <c:tx>
            <c:strRef>
              <c:f>Sheet7!$D$1:$D$2</c:f>
              <c:strCache>
                <c:ptCount val="1"/>
                <c:pt idx="0">
                  <c:v>Dhanraj Diamonds</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Sheet7!$D$3</c:f>
              <c:numCache>
                <c:formatCode>"₹"#,##0_);[Red]\("₹"#,##0\)</c:formatCode>
                <c:ptCount val="1"/>
                <c:pt idx="0">
                  <c:v>84600</c:v>
                </c:pt>
              </c:numCache>
            </c:numRef>
          </c:val>
          <c:extLst>
            <c:ext xmlns:c16="http://schemas.microsoft.com/office/drawing/2014/chart" uri="{C3380CC4-5D6E-409C-BE32-E72D297353CC}">
              <c16:uniqueId val="{00000002-4372-43D4-9336-B8EBF422F9A0}"/>
            </c:ext>
          </c:extLst>
        </c:ser>
        <c:ser>
          <c:idx val="3"/>
          <c:order val="3"/>
          <c:tx>
            <c:strRef>
              <c:f>Sheet7!$E$1:$E$2</c:f>
              <c:strCache>
                <c:ptCount val="1"/>
                <c:pt idx="0">
                  <c:v>Heera Jewelers</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Sheet7!$E$3</c:f>
              <c:numCache>
                <c:formatCode>"₹"#,##0_);[Red]\("₹"#,##0\)</c:formatCode>
                <c:ptCount val="1"/>
                <c:pt idx="0">
                  <c:v>73400</c:v>
                </c:pt>
              </c:numCache>
            </c:numRef>
          </c:val>
          <c:extLst>
            <c:ext xmlns:c16="http://schemas.microsoft.com/office/drawing/2014/chart" uri="{C3380CC4-5D6E-409C-BE32-E72D297353CC}">
              <c16:uniqueId val="{00000003-4372-43D4-9336-B8EBF422F9A0}"/>
            </c:ext>
          </c:extLst>
        </c:ser>
        <c:ser>
          <c:idx val="4"/>
          <c:order val="4"/>
          <c:tx>
            <c:strRef>
              <c:f>Sheet7!$F$1:$F$2</c:f>
              <c:strCache>
                <c:ptCount val="1"/>
                <c:pt idx="0">
                  <c:v>JewelCraft India</c:v>
                </c:pt>
              </c:strCache>
            </c:strRef>
          </c:tx>
          <c:spPr>
            <a:solidFill>
              <a:schemeClr val="accent4">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Sheet7!$F$3</c:f>
              <c:numCache>
                <c:formatCode>"₹"#,##0_);[Red]\("₹"#,##0\)</c:formatCode>
                <c:ptCount val="1"/>
                <c:pt idx="0">
                  <c:v>65000</c:v>
                </c:pt>
              </c:numCache>
            </c:numRef>
          </c:val>
          <c:extLst>
            <c:ext xmlns:c16="http://schemas.microsoft.com/office/drawing/2014/chart" uri="{C3380CC4-5D6E-409C-BE32-E72D297353CC}">
              <c16:uniqueId val="{00000004-4372-43D4-9336-B8EBF422F9A0}"/>
            </c:ext>
          </c:extLst>
        </c:ser>
        <c:ser>
          <c:idx val="5"/>
          <c:order val="5"/>
          <c:tx>
            <c:strRef>
              <c:f>Sheet7!$G$1:$G$2</c:f>
              <c:strCache>
                <c:ptCount val="1"/>
                <c:pt idx="0">
                  <c:v>Kohinoor Diamonds</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Sheet7!$G$3</c:f>
              <c:numCache>
                <c:formatCode>"₹"#,##0_);[Red]\("₹"#,##0\)</c:formatCode>
                <c:ptCount val="1"/>
                <c:pt idx="0">
                  <c:v>82463</c:v>
                </c:pt>
              </c:numCache>
            </c:numRef>
          </c:val>
          <c:extLst>
            <c:ext xmlns:c16="http://schemas.microsoft.com/office/drawing/2014/chart" uri="{C3380CC4-5D6E-409C-BE32-E72D297353CC}">
              <c16:uniqueId val="{00000005-4372-43D4-9336-B8EBF422F9A0}"/>
            </c:ext>
          </c:extLst>
        </c:ser>
        <c:ser>
          <c:idx val="6"/>
          <c:order val="6"/>
          <c:tx>
            <c:strRef>
              <c:f>Sheet7!$H$1:$H$2</c:f>
              <c:strCache>
                <c:ptCount val="1"/>
                <c:pt idx="0">
                  <c:v>Navratna Creations</c:v>
                </c:pt>
              </c:strCache>
            </c:strRef>
          </c:tx>
          <c:spPr>
            <a:solidFill>
              <a:schemeClr val="accent2">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Sheet7!$H$3</c:f>
              <c:numCache>
                <c:formatCode>"₹"#,##0_);[Red]\("₹"#,##0\)</c:formatCode>
                <c:ptCount val="1"/>
                <c:pt idx="0">
                  <c:v>88100</c:v>
                </c:pt>
              </c:numCache>
            </c:numRef>
          </c:val>
          <c:extLst>
            <c:ext xmlns:c16="http://schemas.microsoft.com/office/drawing/2014/chart" uri="{C3380CC4-5D6E-409C-BE32-E72D297353CC}">
              <c16:uniqueId val="{00000006-4372-43D4-9336-B8EBF422F9A0}"/>
            </c:ext>
          </c:extLst>
        </c:ser>
        <c:ser>
          <c:idx val="7"/>
          <c:order val="7"/>
          <c:tx>
            <c:strRef>
              <c:f>Sheet7!$I$1:$I$2</c:f>
              <c:strCache>
                <c:ptCount val="1"/>
                <c:pt idx="0">
                  <c:v>Nirmal Diamonds</c:v>
                </c:pt>
              </c:strCache>
            </c:strRef>
          </c:tx>
          <c:spPr>
            <a:solidFill>
              <a:schemeClr val="accent4">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Sheet7!$I$3</c:f>
              <c:numCache>
                <c:formatCode>"₹"#,##0_);[Red]\("₹"#,##0\)</c:formatCode>
                <c:ptCount val="1"/>
                <c:pt idx="0">
                  <c:v>55000</c:v>
                </c:pt>
              </c:numCache>
            </c:numRef>
          </c:val>
          <c:extLst>
            <c:ext xmlns:c16="http://schemas.microsoft.com/office/drawing/2014/chart" uri="{C3380CC4-5D6E-409C-BE32-E72D297353CC}">
              <c16:uniqueId val="{00000007-4372-43D4-9336-B8EBF422F9A0}"/>
            </c:ext>
          </c:extLst>
        </c:ser>
        <c:ser>
          <c:idx val="8"/>
          <c:order val="8"/>
          <c:tx>
            <c:strRef>
              <c:f>Sheet7!$J$1:$J$2</c:f>
              <c:strCache>
                <c:ptCount val="1"/>
                <c:pt idx="0">
                  <c:v>Precious Gems Pvt. Ltd.</c:v>
                </c:pt>
              </c:strCache>
            </c:strRef>
          </c:tx>
          <c:spPr>
            <a:solidFill>
              <a:schemeClr val="accent6">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Sheet7!$J$3</c:f>
              <c:numCache>
                <c:formatCode>"₹"#,##0_);[Red]\("₹"#,##0\)</c:formatCode>
                <c:ptCount val="1"/>
                <c:pt idx="0">
                  <c:v>76800</c:v>
                </c:pt>
              </c:numCache>
            </c:numRef>
          </c:val>
          <c:extLst>
            <c:ext xmlns:c16="http://schemas.microsoft.com/office/drawing/2014/chart" uri="{C3380CC4-5D6E-409C-BE32-E72D297353CC}">
              <c16:uniqueId val="{00000008-4372-43D4-9336-B8EBF422F9A0}"/>
            </c:ext>
          </c:extLst>
        </c:ser>
        <c:ser>
          <c:idx val="9"/>
          <c:order val="9"/>
          <c:tx>
            <c:strRef>
              <c:f>Sheet7!$K$1:$K$2</c:f>
              <c:strCache>
                <c:ptCount val="1"/>
                <c:pt idx="0">
                  <c:v>Rajratna Jewels</c:v>
                </c:pt>
              </c:strCache>
            </c:strRef>
          </c:tx>
          <c:spPr>
            <a:solidFill>
              <a:schemeClr val="accent2">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Sheet7!$K$3</c:f>
              <c:numCache>
                <c:formatCode>"₹"#,##0_);[Red]\("₹"#,##0\)</c:formatCode>
                <c:ptCount val="1"/>
                <c:pt idx="0">
                  <c:v>80401</c:v>
                </c:pt>
              </c:numCache>
            </c:numRef>
          </c:val>
          <c:extLst>
            <c:ext xmlns:c16="http://schemas.microsoft.com/office/drawing/2014/chart" uri="{C3380CC4-5D6E-409C-BE32-E72D297353CC}">
              <c16:uniqueId val="{00000009-4372-43D4-9336-B8EBF422F9A0}"/>
            </c:ext>
          </c:extLst>
        </c:ser>
        <c:ser>
          <c:idx val="10"/>
          <c:order val="10"/>
          <c:tx>
            <c:strRef>
              <c:f>Sheet7!$L$1:$L$2</c:f>
              <c:strCache>
                <c:ptCount val="1"/>
                <c:pt idx="0">
                  <c:v>Ratan &amp; Sons</c:v>
                </c:pt>
              </c:strCache>
            </c:strRef>
          </c:tx>
          <c:spPr>
            <a:solidFill>
              <a:schemeClr val="accent4">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Sheet7!$L$3</c:f>
              <c:numCache>
                <c:formatCode>"₹"#,##0_);[Red]\("₹"#,##0\)</c:formatCode>
                <c:ptCount val="1"/>
                <c:pt idx="0">
                  <c:v>62550</c:v>
                </c:pt>
              </c:numCache>
            </c:numRef>
          </c:val>
          <c:extLst>
            <c:ext xmlns:c16="http://schemas.microsoft.com/office/drawing/2014/chart" uri="{C3380CC4-5D6E-409C-BE32-E72D297353CC}">
              <c16:uniqueId val="{0000000A-4372-43D4-9336-B8EBF422F9A0}"/>
            </c:ext>
          </c:extLst>
        </c:ser>
        <c:ser>
          <c:idx val="11"/>
          <c:order val="11"/>
          <c:tx>
            <c:strRef>
              <c:f>Sheet7!$M$1:$M$2</c:f>
              <c:strCache>
                <c:ptCount val="1"/>
                <c:pt idx="0">
                  <c:v>Royal Stones Ltd.</c:v>
                </c:pt>
              </c:strCache>
            </c:strRef>
          </c:tx>
          <c:spPr>
            <a:solidFill>
              <a:schemeClr val="accent6">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Sheet7!$M$3</c:f>
              <c:numCache>
                <c:formatCode>"₹"#,##0_);[Red]\("₹"#,##0\)</c:formatCode>
                <c:ptCount val="1"/>
                <c:pt idx="0">
                  <c:v>75100</c:v>
                </c:pt>
              </c:numCache>
            </c:numRef>
          </c:val>
          <c:extLst>
            <c:ext xmlns:c16="http://schemas.microsoft.com/office/drawing/2014/chart" uri="{C3380CC4-5D6E-409C-BE32-E72D297353CC}">
              <c16:uniqueId val="{0000000B-4372-43D4-9336-B8EBF422F9A0}"/>
            </c:ext>
          </c:extLst>
        </c:ser>
        <c:ser>
          <c:idx val="12"/>
          <c:order val="12"/>
          <c:tx>
            <c:strRef>
              <c:f>Sheet7!$N$1:$N$2</c:f>
              <c:strCache>
                <c:ptCount val="1"/>
                <c:pt idx="0">
                  <c:v>Shree Diamond Co.</c:v>
                </c:pt>
              </c:strCache>
            </c:strRef>
          </c:tx>
          <c:spPr>
            <a:solidFill>
              <a:schemeClr val="accent2">
                <a:lumMod val="60000"/>
                <a:lumOff val="4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Sheet7!$N$3</c:f>
              <c:numCache>
                <c:formatCode>"₹"#,##0_);[Red]\("₹"#,##0\)</c:formatCode>
                <c:ptCount val="1"/>
                <c:pt idx="0">
                  <c:v>74200</c:v>
                </c:pt>
              </c:numCache>
            </c:numRef>
          </c:val>
          <c:extLst>
            <c:ext xmlns:c16="http://schemas.microsoft.com/office/drawing/2014/chart" uri="{C3380CC4-5D6E-409C-BE32-E72D297353CC}">
              <c16:uniqueId val="{0000000C-4372-43D4-9336-B8EBF422F9A0}"/>
            </c:ext>
          </c:extLst>
        </c:ser>
        <c:ser>
          <c:idx val="13"/>
          <c:order val="13"/>
          <c:tx>
            <c:strRef>
              <c:f>Sheet7!$O$1:$O$2</c:f>
              <c:strCache>
                <c:ptCount val="1"/>
                <c:pt idx="0">
                  <c:v>Sona Chandi Ltd.</c:v>
                </c:pt>
              </c:strCache>
            </c:strRef>
          </c:tx>
          <c:spPr>
            <a:solidFill>
              <a:schemeClr val="accent4">
                <a:lumMod val="60000"/>
                <a:lumOff val="4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Sheet7!$O$3</c:f>
              <c:numCache>
                <c:formatCode>"₹"#,##0_);[Red]\("₹"#,##0\)</c:formatCode>
                <c:ptCount val="1"/>
                <c:pt idx="0">
                  <c:v>67080</c:v>
                </c:pt>
              </c:numCache>
            </c:numRef>
          </c:val>
          <c:extLst>
            <c:ext xmlns:c16="http://schemas.microsoft.com/office/drawing/2014/chart" uri="{C3380CC4-5D6E-409C-BE32-E72D297353CC}">
              <c16:uniqueId val="{0000000D-4372-43D4-9336-B8EBF422F9A0}"/>
            </c:ext>
          </c:extLst>
        </c:ser>
        <c:ser>
          <c:idx val="14"/>
          <c:order val="14"/>
          <c:tx>
            <c:strRef>
              <c:f>Sheet7!$P$1:$P$2</c:f>
              <c:strCache>
                <c:ptCount val="1"/>
                <c:pt idx="0">
                  <c:v>Spark India Diamonds</c:v>
                </c:pt>
              </c:strCache>
            </c:strRef>
          </c:tx>
          <c:spPr>
            <a:solidFill>
              <a:schemeClr val="accent6">
                <a:lumMod val="60000"/>
                <a:lumOff val="4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Sheet7!$P$3</c:f>
              <c:numCache>
                <c:formatCode>"₹"#,##0_);[Red]\("₹"#,##0\)</c:formatCode>
                <c:ptCount val="1"/>
                <c:pt idx="0">
                  <c:v>65400</c:v>
                </c:pt>
              </c:numCache>
            </c:numRef>
          </c:val>
          <c:extLst>
            <c:ext xmlns:c16="http://schemas.microsoft.com/office/drawing/2014/chart" uri="{C3380CC4-5D6E-409C-BE32-E72D297353CC}">
              <c16:uniqueId val="{0000000E-4372-43D4-9336-B8EBF422F9A0}"/>
            </c:ext>
          </c:extLst>
        </c:ser>
        <c:ser>
          <c:idx val="15"/>
          <c:order val="15"/>
          <c:tx>
            <c:strRef>
              <c:f>Sheet7!$Q$1:$Q$2</c:f>
              <c:strCache>
                <c:ptCount val="1"/>
                <c:pt idx="0">
                  <c:v>Vajra Gems</c:v>
                </c:pt>
              </c:strCache>
            </c:strRef>
          </c:tx>
          <c:spPr>
            <a:solidFill>
              <a:schemeClr val="accent2">
                <a:lumMod val="5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Sheet7!$A$3</c:f>
              <c:strCache>
                <c:ptCount val="1"/>
                <c:pt idx="0">
                  <c:v>Total</c:v>
                </c:pt>
              </c:strCache>
            </c:strRef>
          </c:cat>
          <c:val>
            <c:numRef>
              <c:f>Sheet7!$Q$3</c:f>
              <c:numCache>
                <c:formatCode>"₹"#,##0_);[Red]\("₹"#,##0\)</c:formatCode>
                <c:ptCount val="1"/>
                <c:pt idx="0">
                  <c:v>65300</c:v>
                </c:pt>
              </c:numCache>
            </c:numRef>
          </c:val>
          <c:extLst>
            <c:ext xmlns:c16="http://schemas.microsoft.com/office/drawing/2014/chart" uri="{C3380CC4-5D6E-409C-BE32-E72D297353CC}">
              <c16:uniqueId val="{0000000F-4372-43D4-9336-B8EBF422F9A0}"/>
            </c:ext>
          </c:extLst>
        </c:ser>
        <c:dLbls>
          <c:dLblPos val="outEnd"/>
          <c:showLegendKey val="0"/>
          <c:showVal val="1"/>
          <c:showCatName val="0"/>
          <c:showSerName val="0"/>
          <c:showPercent val="0"/>
          <c:showBubbleSize val="0"/>
        </c:dLbls>
        <c:gapWidth val="444"/>
        <c:overlap val="-90"/>
        <c:axId val="37824863"/>
        <c:axId val="37825343"/>
      </c:barChart>
      <c:catAx>
        <c:axId val="3782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7825343"/>
        <c:crosses val="autoZero"/>
        <c:auto val="1"/>
        <c:lblAlgn val="ctr"/>
        <c:lblOffset val="100"/>
        <c:noMultiLvlLbl val="0"/>
      </c:catAx>
      <c:valAx>
        <c:axId val="37825343"/>
        <c:scaling>
          <c:orientation val="minMax"/>
        </c:scaling>
        <c:delete val="0"/>
        <c:axPos val="l"/>
        <c:numFmt formatCode="&quot;₹&quot;#,##0_);[Red]\(&quot;₹&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4863"/>
        <c:crosses val="autoZero"/>
        <c:crossBetween val="between"/>
      </c:valAx>
      <c:spPr>
        <a:noFill/>
        <a:ln>
          <a:noFill/>
        </a:ln>
        <a:effectLst/>
      </c:spPr>
    </c:plotArea>
    <c:legend>
      <c:legendPos val="r"/>
      <c:layout>
        <c:manualLayout>
          <c:xMode val="edge"/>
          <c:yMode val="edge"/>
          <c:x val="0.8610337836823162"/>
          <c:y val="6.4014289880431605E-2"/>
          <c:w val="0.13133748141622156"/>
          <c:h val="0.88729330708661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data id="3">
      <cx:strDim type="cat">
        <cx:f>_xlchart.v1.0</cx:f>
      </cx:strDim>
      <cx:numDim type="val">
        <cx:f>_xlchart.v1.8</cx:f>
      </cx:numDim>
    </cx:data>
  </cx:chartData>
  <cx:chart>
    <cx:title pos="t" align="ctr" overlay="0">
      <cx:tx>
        <cx:txData>
          <cx:v>PRICE STATEWISE</cx:v>
        </cx:txData>
      </cx:tx>
      <cx:txPr>
        <a:bodyPr spcFirstLastPara="1" vertOverflow="ellipsis" horzOverflow="overflow" wrap="square" lIns="0" tIns="0" rIns="0" bIns="0" anchor="ctr" anchorCtr="1"/>
        <a:lstStyle/>
        <a:p>
          <a:pPr algn="ctr" rtl="0">
            <a:defRPr/>
          </a:pPr>
          <a:r>
            <a:rPr lang="en-US" sz="1800" b="1" i="0" u="none" strike="noStrike" cap="all" spc="150" baseline="0">
              <a:solidFill>
                <a:sysClr val="windowText" lastClr="000000">
                  <a:lumMod val="50000"/>
                  <a:lumOff val="50000"/>
                </a:sysClr>
              </a:solidFill>
              <a:latin typeface="Calibri"/>
            </a:rPr>
            <a:t>PRICE STATEWISE</a:t>
          </a:r>
        </a:p>
      </cx:txPr>
    </cx:title>
    <cx:plotArea>
      <cx:plotAreaRegion>
        <cx:series layoutId="boxWhisker" uniqueId="{DBACF48E-20E8-463D-BF3F-F1389E412B6D}">
          <cx:tx>
            <cx:txData>
              <cx:f>_xlchart.v1.1</cx:f>
              <cx:v>Price (INR per carat)</cx:v>
            </cx:txData>
          </cx:tx>
          <cx:dataId val="0"/>
          <cx:layoutPr>
            <cx:visibility meanLine="0" meanMarker="0" nonoutliers="0" outliers="1"/>
            <cx:statistics quartileMethod="exclusive"/>
          </cx:layoutPr>
        </cx:series>
        <cx:series layoutId="boxWhisker" uniqueId="{BEA8C428-F1CF-4701-B446-383FA6D26BFF}">
          <cx:tx>
            <cx:txData>
              <cx:f>_xlchart.v1.3</cx:f>
              <cx:v>Year</cx:v>
            </cx:txData>
          </cx:tx>
          <cx:dataId val="1"/>
          <cx:layoutPr>
            <cx:visibility meanLine="0" meanMarker="0" nonoutliers="0" outliers="1"/>
            <cx:statistics quartileMethod="exclusive"/>
          </cx:layoutPr>
        </cx:series>
        <cx:series layoutId="boxWhisker" uniqueId="{4D3EE00B-07B6-43DC-AFDA-65F4045A43AA}">
          <cx:tx>
            <cx:txData>
              <cx:f>_xlchart.v1.5</cx:f>
              <cx:v>Turnover (Million USD)</cx:v>
            </cx:txData>
          </cx:tx>
          <cx:dataId val="2"/>
          <cx:layoutPr>
            <cx:visibility meanLine="0" meanMarker="0" nonoutliers="0" outliers="1"/>
            <cx:statistics quartileMethod="exclusive"/>
          </cx:layoutPr>
        </cx:series>
        <cx:series layoutId="boxWhisker" uniqueId="{DC4628E9-2F24-4BD7-A6EF-DC06402E7AB4}">
          <cx:tx>
            <cx:txData>
              <cx:f>_xlchart.v1.7</cx:f>
              <cx:v>Number of Employees</cx:v>
            </cx:txData>
          </cx:tx>
          <cx:dataId val="3"/>
          <cx:layoutPr>
            <cx:visibility meanLine="0" meanMarker="0" nonoutliers="0" outliers="1"/>
            <cx:statistics quartileMethod="exclusive"/>
          </cx:layoutPr>
        </cx:series>
      </cx:plotAreaRegion>
      <cx:axis id="0">
        <cx:catScaling gapWidth="1.10000002"/>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6</xdr:col>
      <xdr:colOff>152400</xdr:colOff>
      <xdr:row>14</xdr:row>
      <xdr:rowOff>44450</xdr:rowOff>
    </xdr:from>
    <xdr:to>
      <xdr:col>7</xdr:col>
      <xdr:colOff>355600</xdr:colOff>
      <xdr:row>27</xdr:row>
      <xdr:rowOff>174625</xdr:rowOff>
    </xdr:to>
    <mc:AlternateContent xmlns:mc="http://schemas.openxmlformats.org/markup-compatibility/2006" xmlns:sle15="http://schemas.microsoft.com/office/drawing/2012/slicer">
      <mc:Choice Requires="sle15">
        <xdr:graphicFrame macro="">
          <xdr:nvGraphicFramePr>
            <xdr:cNvPr id="5" name="Company Name">
              <a:extLst>
                <a:ext uri="{FF2B5EF4-FFF2-40B4-BE49-F238E27FC236}">
                  <a16:creationId xmlns:a16="http://schemas.microsoft.com/office/drawing/2014/main" id="{40CFD6CE-CF29-F7FD-34B6-1DA575F2E2FC}"/>
                </a:ext>
              </a:extLst>
            </xdr:cNvPr>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mlns="">
        <xdr:sp macro="" textlink="">
          <xdr:nvSpPr>
            <xdr:cNvPr id="0" name=""/>
            <xdr:cNvSpPr>
              <a:spLocks noTextEdit="1"/>
            </xdr:cNvSpPr>
          </xdr:nvSpPr>
          <xdr:spPr>
            <a:xfrm>
              <a:off x="7213600" y="262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444500</xdr:colOff>
      <xdr:row>0</xdr:row>
      <xdr:rowOff>57150</xdr:rowOff>
    </xdr:from>
    <xdr:to>
      <xdr:col>10</xdr:col>
      <xdr:colOff>444500</xdr:colOff>
      <xdr:row>14</xdr:row>
      <xdr:rowOff>0</xdr:rowOff>
    </xdr:to>
    <mc:AlternateContent xmlns:mc="http://schemas.openxmlformats.org/markup-compatibility/2006" xmlns:sle15="http://schemas.microsoft.com/office/drawing/2012/slicer">
      <mc:Choice Requires="sle15">
        <xdr:graphicFrame macro="">
          <xdr:nvGraphicFramePr>
            <xdr:cNvPr id="6" name="State">
              <a:extLst>
                <a:ext uri="{FF2B5EF4-FFF2-40B4-BE49-F238E27FC236}">
                  <a16:creationId xmlns:a16="http://schemas.microsoft.com/office/drawing/2014/main" id="{A0FCE5A7-98D0-1F8B-009B-2806D46481D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131300" y="57150"/>
              <a:ext cx="1828800" cy="2520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133350</xdr:colOff>
      <xdr:row>0</xdr:row>
      <xdr:rowOff>63500</xdr:rowOff>
    </xdr:from>
    <xdr:to>
      <xdr:col>7</xdr:col>
      <xdr:colOff>336550</xdr:colOff>
      <xdr:row>14</xdr:row>
      <xdr:rowOff>9525</xdr:rowOff>
    </xdr:to>
    <mc:AlternateContent xmlns:mc="http://schemas.openxmlformats.org/markup-compatibility/2006" xmlns:sle15="http://schemas.microsoft.com/office/drawing/2012/slicer">
      <mc:Choice Requires="sle15">
        <xdr:graphicFrame macro="">
          <xdr:nvGraphicFramePr>
            <xdr:cNvPr id="8" name="Year">
              <a:extLst>
                <a:ext uri="{FF2B5EF4-FFF2-40B4-BE49-F238E27FC236}">
                  <a16:creationId xmlns:a16="http://schemas.microsoft.com/office/drawing/2014/main" id="{B4395B4D-5C25-CB61-6ECB-CBC0DDB9A9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94550" y="6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158750</xdr:rowOff>
    </xdr:from>
    <xdr:to>
      <xdr:col>10</xdr:col>
      <xdr:colOff>69850</xdr:colOff>
      <xdr:row>20</xdr:row>
      <xdr:rowOff>139700</xdr:rowOff>
    </xdr:to>
    <xdr:graphicFrame macro="">
      <xdr:nvGraphicFramePr>
        <xdr:cNvPr id="2" name="Chart 1">
          <a:extLst>
            <a:ext uri="{FF2B5EF4-FFF2-40B4-BE49-F238E27FC236}">
              <a16:creationId xmlns:a16="http://schemas.microsoft.com/office/drawing/2014/main" id="{020F6F34-08C8-300C-3121-A8C22CA22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152400</xdr:colOff>
      <xdr:row>0</xdr:row>
      <xdr:rowOff>95250</xdr:rowOff>
    </xdr:from>
    <xdr:to>
      <xdr:col>8</xdr:col>
      <xdr:colOff>152400</xdr:colOff>
      <xdr:row>28</xdr:row>
      <xdr:rowOff>41275</xdr:rowOff>
    </xdr:to>
    <mc:AlternateContent xmlns:mc="http://schemas.openxmlformats.org/markup-compatibility/2006" xmlns:sle15="http://schemas.microsoft.com/office/drawing/2012/slicer">
      <mc:Choice Requires="sle15">
        <xdr:graphicFrame macro="">
          <xdr:nvGraphicFramePr>
            <xdr:cNvPr id="3" name="Company">
              <a:extLst>
                <a:ext uri="{FF2B5EF4-FFF2-40B4-BE49-F238E27FC236}">
                  <a16:creationId xmlns:a16="http://schemas.microsoft.com/office/drawing/2014/main" id="{C681F081-C81E-9329-01EF-18991650FDDD}"/>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7912100" y="95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453987</xdr:colOff>
      <xdr:row>5</xdr:row>
      <xdr:rowOff>22191</xdr:rowOff>
    </xdr:from>
    <xdr:to>
      <xdr:col>27</xdr:col>
      <xdr:colOff>405319</xdr:colOff>
      <xdr:row>35</xdr:row>
      <xdr:rowOff>75337</xdr:rowOff>
    </xdr:to>
    <xdr:graphicFrame macro="">
      <xdr:nvGraphicFramePr>
        <xdr:cNvPr id="2" name="Chart 1">
          <a:extLst>
            <a:ext uri="{FF2B5EF4-FFF2-40B4-BE49-F238E27FC236}">
              <a16:creationId xmlns:a16="http://schemas.microsoft.com/office/drawing/2014/main" id="{F8520684-B1E0-4056-9A45-4E5B4A484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117943</xdr:colOff>
      <xdr:row>5</xdr:row>
      <xdr:rowOff>101230</xdr:rowOff>
    </xdr:from>
    <xdr:to>
      <xdr:col>15</xdr:col>
      <xdr:colOff>12290</xdr:colOff>
      <xdr:row>35</xdr:row>
      <xdr:rowOff>15704</xdr:rowOff>
    </xdr:to>
    <xdr:graphicFrame macro="">
      <xdr:nvGraphicFramePr>
        <xdr:cNvPr id="3" name="Chart 2">
          <a:extLst>
            <a:ext uri="{FF2B5EF4-FFF2-40B4-BE49-F238E27FC236}">
              <a16:creationId xmlns:a16="http://schemas.microsoft.com/office/drawing/2014/main" id="{671D43A0-6F8A-4796-8C16-1E5FB89AC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28</xdr:col>
      <xdr:colOff>519908</xdr:colOff>
      <xdr:row>5</xdr:row>
      <xdr:rowOff>91224</xdr:rowOff>
    </xdr:from>
    <xdr:to>
      <xdr:col>34</xdr:col>
      <xdr:colOff>148617</xdr:colOff>
      <xdr:row>35</xdr:row>
      <xdr:rowOff>162128</xdr:rowOff>
    </xdr:to>
    <mc:AlternateContent xmlns:mc="http://schemas.openxmlformats.org/markup-compatibility/2006" xmlns:sle15="http://schemas.microsoft.com/office/drawing/2012/slicer">
      <mc:Choice Requires="sle15">
        <xdr:graphicFrame macro="">
          <xdr:nvGraphicFramePr>
            <xdr:cNvPr id="4" name="Company 1">
              <a:extLst>
                <a:ext uri="{FF2B5EF4-FFF2-40B4-BE49-F238E27FC236}">
                  <a16:creationId xmlns:a16="http://schemas.microsoft.com/office/drawing/2014/main" id="{BB49B4C6-035C-456F-A4FE-C717340EF1D8}"/>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7543312" y="1036969"/>
              <a:ext cx="3276582" cy="57453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310535</xdr:colOff>
      <xdr:row>0</xdr:row>
      <xdr:rowOff>26103</xdr:rowOff>
    </xdr:from>
    <xdr:to>
      <xdr:col>15</xdr:col>
      <xdr:colOff>320455</xdr:colOff>
      <xdr:row>3</xdr:row>
      <xdr:rowOff>141271</xdr:rowOff>
    </xdr:to>
    <xdr:sp macro="" textlink="">
      <xdr:nvSpPr>
        <xdr:cNvPr id="6" name="TextBox 5">
          <a:extLst>
            <a:ext uri="{FF2B5EF4-FFF2-40B4-BE49-F238E27FC236}">
              <a16:creationId xmlns:a16="http://schemas.microsoft.com/office/drawing/2014/main" id="{5CF294BE-1039-14B3-6B52-1D16EDCFF89C}"/>
            </a:ext>
          </a:extLst>
        </xdr:cNvPr>
        <xdr:cNvSpPr txBox="1"/>
      </xdr:nvSpPr>
      <xdr:spPr>
        <a:xfrm>
          <a:off x="6390322" y="26103"/>
          <a:ext cx="3049814" cy="68261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kern="1200"/>
            <a:t>DASHBOARD</a:t>
          </a:r>
        </a:p>
      </xdr:txBody>
    </xdr:sp>
    <xdr:clientData/>
  </xdr:twoCellAnchor>
  <xdr:twoCellAnchor>
    <xdr:from>
      <xdr:col>16</xdr:col>
      <xdr:colOff>405319</xdr:colOff>
      <xdr:row>37</xdr:row>
      <xdr:rowOff>135231</xdr:rowOff>
    </xdr:from>
    <xdr:to>
      <xdr:col>29</xdr:col>
      <xdr:colOff>15345</xdr:colOff>
      <xdr:row>63</xdr:row>
      <xdr:rowOff>67552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1F12641-0894-4D5E-A2FE-1282350FDC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158919" y="6948781"/>
              <a:ext cx="7534826" cy="47202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30</xdr:col>
      <xdr:colOff>192611</xdr:colOff>
      <xdr:row>38</xdr:row>
      <xdr:rowOff>347</xdr:rowOff>
    </xdr:from>
    <xdr:to>
      <xdr:col>33</xdr:col>
      <xdr:colOff>493829</xdr:colOff>
      <xdr:row>61</xdr:row>
      <xdr:rowOff>140650</xdr:rowOff>
    </xdr:to>
    <mc:AlternateContent xmlns:mc="http://schemas.openxmlformats.org/markup-compatibility/2006" xmlns:sle15="http://schemas.microsoft.com/office/drawing/2012/slicer">
      <mc:Choice Requires="sle15">
        <xdr:graphicFrame macro="">
          <xdr:nvGraphicFramePr>
            <xdr:cNvPr id="8" name="State 2">
              <a:extLst>
                <a:ext uri="{FF2B5EF4-FFF2-40B4-BE49-F238E27FC236}">
                  <a16:creationId xmlns:a16="http://schemas.microsoft.com/office/drawing/2014/main" id="{69BFFF25-B96A-4988-911E-7C77110620C1}"/>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8431973" y="7188007"/>
              <a:ext cx="2125154" cy="449072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324256</xdr:colOff>
      <xdr:row>37</xdr:row>
      <xdr:rowOff>148617</xdr:rowOff>
    </xdr:from>
    <xdr:to>
      <xdr:col>15</xdr:col>
      <xdr:colOff>486383</xdr:colOff>
      <xdr:row>63</xdr:row>
      <xdr:rowOff>13511</xdr:rowOff>
    </xdr:to>
    <xdr:graphicFrame macro="">
      <xdr:nvGraphicFramePr>
        <xdr:cNvPr id="9" name="Chart 8">
          <a:extLst>
            <a:ext uri="{FF2B5EF4-FFF2-40B4-BE49-F238E27FC236}">
              <a16:creationId xmlns:a16="http://schemas.microsoft.com/office/drawing/2014/main" id="{D08BD657-ABFB-4975-B731-C2B848CBF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RAJ" refreshedDate="45615.000333564814" createdVersion="8" refreshedVersion="8" minRefreshableVersion="3" recordCount="16" xr:uid="{1E94918A-344A-4DB5-891C-A8D0B92F1EAB}">
  <cacheSource type="worksheet">
    <worksheetSource name="Table2"/>
  </cacheSource>
  <cacheFields count="5">
    <cacheField name="Company" numFmtId="0">
      <sharedItems count="16">
        <s v="Kohinoor Diamonds"/>
        <s v="Rajratna Jewels"/>
        <s v="Sona Chandi Ltd."/>
        <s v="Bharat Gems"/>
        <s v="Shree Diamond Co."/>
        <s v="Arya Jewelers"/>
        <s v="Navratna Creations"/>
        <s v="Dhanraj Diamonds"/>
        <s v="Precious Gems Pvt. Ltd."/>
        <s v="Ratan &amp; Sons"/>
        <s v="JewelCraft India"/>
        <s v="Spark India Diamonds"/>
        <s v="Heera Jewelers"/>
        <s v="Nirmal Diamonds"/>
        <s v="Vajra Gems"/>
        <s v="Royal Stones Ltd."/>
      </sharedItems>
    </cacheField>
    <cacheField name="PRICE PER CARAT (2025)" numFmtId="6">
      <sharedItems containsSemiMixedTypes="0" containsString="0" containsNumber="1" containsInteger="1" minValue="55000" maxValue="88100"/>
    </cacheField>
    <cacheField name="PRICE (2026)" numFmtId="6">
      <sharedItems containsSemiMixedTypes="0" containsString="0" containsNumber="1" containsInteger="1" minValue="63000" maxValue="85313"/>
    </cacheField>
    <cacheField name="TURNOVER  IN MILLON (2025)" numFmtId="0">
      <sharedItems containsSemiMixedTypes="0" containsString="0" containsNumber="1" minValue="12" maxValue="46"/>
    </cacheField>
    <cacheField name="TURNOVER IN MILLON(2026)" numFmtId="0">
      <sharedItems containsSemiMixedTypes="0" containsString="0" containsNumber="1" minValue="12.33" maxValue="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82463"/>
    <n v="85313"/>
    <n v="27.22"/>
    <n v="28.33"/>
  </r>
  <r>
    <x v="1"/>
    <n v="80401"/>
    <n v="83416"/>
    <n v="12"/>
    <n v="12.33"/>
  </r>
  <r>
    <x v="2"/>
    <n v="67080"/>
    <n v="69000"/>
    <n v="31"/>
    <n v="32"/>
  </r>
  <r>
    <x v="3"/>
    <n v="65520"/>
    <n v="65640"/>
    <n v="41"/>
    <n v="42"/>
  </r>
  <r>
    <x v="4"/>
    <n v="74200"/>
    <n v="64350"/>
    <n v="12.5"/>
    <n v="13"/>
  </r>
  <r>
    <x v="5"/>
    <n v="76200"/>
    <n v="63000"/>
    <n v="42"/>
    <n v="43"/>
  </r>
  <r>
    <x v="6"/>
    <n v="88100"/>
    <n v="68250"/>
    <n v="42"/>
    <n v="43"/>
  </r>
  <r>
    <x v="7"/>
    <n v="84600"/>
    <n v="64750"/>
    <n v="14"/>
    <n v="15"/>
  </r>
  <r>
    <x v="8"/>
    <n v="76800"/>
    <n v="69500"/>
    <n v="46"/>
    <n v="47"/>
  </r>
  <r>
    <x v="9"/>
    <n v="62550"/>
    <n v="63500"/>
    <n v="24"/>
    <n v="25"/>
  </r>
  <r>
    <x v="10"/>
    <n v="65000"/>
    <n v="66500"/>
    <n v="18.5"/>
    <n v="19"/>
  </r>
  <r>
    <x v="11"/>
    <n v="65400"/>
    <n v="75500"/>
    <n v="16.5"/>
    <n v="17"/>
  </r>
  <r>
    <x v="12"/>
    <n v="73400"/>
    <n v="63500"/>
    <n v="37"/>
    <n v="38"/>
  </r>
  <r>
    <x v="13"/>
    <n v="55000"/>
    <n v="65150"/>
    <n v="46"/>
    <n v="47"/>
  </r>
  <r>
    <x v="14"/>
    <n v="65300"/>
    <n v="65400"/>
    <n v="43"/>
    <n v="44"/>
  </r>
  <r>
    <x v="15"/>
    <n v="75100"/>
    <n v="71700"/>
    <n v="28"/>
    <n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DDC211-6577-4BE0-8ADC-E88FFF0FB87D}" name="PivotTable1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R3" firstHeaderRow="1" firstDataRow="2" firstDataCol="1"/>
  <pivotFields count="5">
    <pivotField axis="axisCol" showAll="0">
      <items count="17">
        <item x="5"/>
        <item x="3"/>
        <item x="7"/>
        <item x="12"/>
        <item x="10"/>
        <item x="0"/>
        <item x="6"/>
        <item x="13"/>
        <item x="8"/>
        <item x="1"/>
        <item x="9"/>
        <item x="15"/>
        <item x="4"/>
        <item x="2"/>
        <item x="11"/>
        <item x="14"/>
        <item t="default"/>
      </items>
    </pivotField>
    <pivotField dataField="1" numFmtId="6" showAll="0"/>
    <pivotField numFmtId="6" showAll="0"/>
    <pivotField showAll="0"/>
    <pivotField showAll="0"/>
  </pivotFields>
  <rowItems count="1">
    <i/>
  </rowItems>
  <colFields count="1">
    <field x="0"/>
  </colFields>
  <colItems count="17">
    <i>
      <x/>
    </i>
    <i>
      <x v="1"/>
    </i>
    <i>
      <x v="2"/>
    </i>
    <i>
      <x v="3"/>
    </i>
    <i>
      <x v="4"/>
    </i>
    <i>
      <x v="5"/>
    </i>
    <i>
      <x v="6"/>
    </i>
    <i>
      <x v="7"/>
    </i>
    <i>
      <x v="8"/>
    </i>
    <i>
      <x v="9"/>
    </i>
    <i>
      <x v="10"/>
    </i>
    <i>
      <x v="11"/>
    </i>
    <i>
      <x v="12"/>
    </i>
    <i>
      <x v="13"/>
    </i>
    <i>
      <x v="14"/>
    </i>
    <i>
      <x v="15"/>
    </i>
    <i t="grand">
      <x/>
    </i>
  </colItems>
  <dataFields count="1">
    <dataField name="PRICEs" fld="1" baseField="0" baseItem="0" numFmtId="6"/>
  </dataFields>
  <chartFormats count="4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pivotArea type="data" outline="0" fieldPosition="0">
        <references count="2">
          <reference field="4294967294" count="1" selected="0">
            <x v="0"/>
          </reference>
          <reference field="0" count="1" selected="0">
            <x v="15"/>
          </reference>
        </references>
      </pivotArea>
    </chartFormat>
    <chartFormat chart="21" format="17" series="1">
      <pivotArea type="data" outline="0" fieldPosition="0">
        <references count="2">
          <reference field="4294967294" count="1" selected="0">
            <x v="0"/>
          </reference>
          <reference field="0" count="1" selected="0">
            <x v="0"/>
          </reference>
        </references>
      </pivotArea>
    </chartFormat>
    <chartFormat chart="21" format="18" series="1">
      <pivotArea type="data" outline="0" fieldPosition="0">
        <references count="2">
          <reference field="4294967294" count="1" selected="0">
            <x v="0"/>
          </reference>
          <reference field="0" count="1" selected="0">
            <x v="1"/>
          </reference>
        </references>
      </pivotArea>
    </chartFormat>
    <chartFormat chart="21" format="19" series="1">
      <pivotArea type="data" outline="0" fieldPosition="0">
        <references count="2">
          <reference field="4294967294" count="1" selected="0">
            <x v="0"/>
          </reference>
          <reference field="0" count="1" selected="0">
            <x v="2"/>
          </reference>
        </references>
      </pivotArea>
    </chartFormat>
    <chartFormat chart="21" format="20" series="1">
      <pivotArea type="data" outline="0" fieldPosition="0">
        <references count="2">
          <reference field="4294967294" count="1" selected="0">
            <x v="0"/>
          </reference>
          <reference field="0" count="1" selected="0">
            <x v="3"/>
          </reference>
        </references>
      </pivotArea>
    </chartFormat>
    <chartFormat chart="21" format="21" series="1">
      <pivotArea type="data" outline="0" fieldPosition="0">
        <references count="2">
          <reference field="4294967294" count="1" selected="0">
            <x v="0"/>
          </reference>
          <reference field="0" count="1" selected="0">
            <x v="4"/>
          </reference>
        </references>
      </pivotArea>
    </chartFormat>
    <chartFormat chart="21" format="22" series="1">
      <pivotArea type="data" outline="0" fieldPosition="0">
        <references count="2">
          <reference field="4294967294" count="1" selected="0">
            <x v="0"/>
          </reference>
          <reference field="0" count="1" selected="0">
            <x v="5"/>
          </reference>
        </references>
      </pivotArea>
    </chartFormat>
    <chartFormat chart="21" format="23" series="1">
      <pivotArea type="data" outline="0" fieldPosition="0">
        <references count="2">
          <reference field="4294967294" count="1" selected="0">
            <x v="0"/>
          </reference>
          <reference field="0" count="1" selected="0">
            <x v="6"/>
          </reference>
        </references>
      </pivotArea>
    </chartFormat>
    <chartFormat chart="21" format="24" series="1">
      <pivotArea type="data" outline="0" fieldPosition="0">
        <references count="2">
          <reference field="4294967294" count="1" selected="0">
            <x v="0"/>
          </reference>
          <reference field="0" count="1" selected="0">
            <x v="7"/>
          </reference>
        </references>
      </pivotArea>
    </chartFormat>
    <chartFormat chart="21" format="25" series="1">
      <pivotArea type="data" outline="0" fieldPosition="0">
        <references count="2">
          <reference field="4294967294" count="1" selected="0">
            <x v="0"/>
          </reference>
          <reference field="0" count="1" selected="0">
            <x v="8"/>
          </reference>
        </references>
      </pivotArea>
    </chartFormat>
    <chartFormat chart="21" format="26" series="1">
      <pivotArea type="data" outline="0" fieldPosition="0">
        <references count="2">
          <reference field="4294967294" count="1" selected="0">
            <x v="0"/>
          </reference>
          <reference field="0" count="1" selected="0">
            <x v="9"/>
          </reference>
        </references>
      </pivotArea>
    </chartFormat>
    <chartFormat chart="21" format="27" series="1">
      <pivotArea type="data" outline="0" fieldPosition="0">
        <references count="2">
          <reference field="4294967294" count="1" selected="0">
            <x v="0"/>
          </reference>
          <reference field="0" count="1" selected="0">
            <x v="10"/>
          </reference>
        </references>
      </pivotArea>
    </chartFormat>
    <chartFormat chart="21" format="28" series="1">
      <pivotArea type="data" outline="0" fieldPosition="0">
        <references count="2">
          <reference field="4294967294" count="1" selected="0">
            <x v="0"/>
          </reference>
          <reference field="0" count="1" selected="0">
            <x v="11"/>
          </reference>
        </references>
      </pivotArea>
    </chartFormat>
    <chartFormat chart="21" format="29" series="1">
      <pivotArea type="data" outline="0" fieldPosition="0">
        <references count="2">
          <reference field="4294967294" count="1" selected="0">
            <x v="0"/>
          </reference>
          <reference field="0" count="1" selected="0">
            <x v="12"/>
          </reference>
        </references>
      </pivotArea>
    </chartFormat>
    <chartFormat chart="21" format="30" series="1">
      <pivotArea type="data" outline="0" fieldPosition="0">
        <references count="2">
          <reference field="4294967294" count="1" selected="0">
            <x v="0"/>
          </reference>
          <reference field="0" count="1" selected="0">
            <x v="13"/>
          </reference>
        </references>
      </pivotArea>
    </chartFormat>
    <chartFormat chart="21" format="31" series="1">
      <pivotArea type="data" outline="0" fieldPosition="0">
        <references count="2">
          <reference field="4294967294" count="1" selected="0">
            <x v="0"/>
          </reference>
          <reference field="0" count="1" selected="0">
            <x v="14"/>
          </reference>
        </references>
      </pivotArea>
    </chartFormat>
    <chartFormat chart="21" format="32" series="1">
      <pivotArea type="data" outline="0" fieldPosition="0">
        <references count="2">
          <reference field="4294967294" count="1" selected="0">
            <x v="0"/>
          </reference>
          <reference field="0" count="1" selected="0">
            <x v="15"/>
          </reference>
        </references>
      </pivotArea>
    </chartFormat>
    <chartFormat chart="22" format="33" series="1">
      <pivotArea type="data" outline="0" fieldPosition="0">
        <references count="2">
          <reference field="4294967294" count="1" selected="0">
            <x v="0"/>
          </reference>
          <reference field="0" count="1" selected="0">
            <x v="0"/>
          </reference>
        </references>
      </pivotArea>
    </chartFormat>
    <chartFormat chart="22" format="34" series="1">
      <pivotArea type="data" outline="0" fieldPosition="0">
        <references count="2">
          <reference field="4294967294" count="1" selected="0">
            <x v="0"/>
          </reference>
          <reference field="0" count="1" selected="0">
            <x v="1"/>
          </reference>
        </references>
      </pivotArea>
    </chartFormat>
    <chartFormat chart="22" format="35" series="1">
      <pivotArea type="data" outline="0" fieldPosition="0">
        <references count="2">
          <reference field="4294967294" count="1" selected="0">
            <x v="0"/>
          </reference>
          <reference field="0" count="1" selected="0">
            <x v="2"/>
          </reference>
        </references>
      </pivotArea>
    </chartFormat>
    <chartFormat chart="22" format="36" series="1">
      <pivotArea type="data" outline="0" fieldPosition="0">
        <references count="2">
          <reference field="4294967294" count="1" selected="0">
            <x v="0"/>
          </reference>
          <reference field="0" count="1" selected="0">
            <x v="3"/>
          </reference>
        </references>
      </pivotArea>
    </chartFormat>
    <chartFormat chart="22" format="37" series="1">
      <pivotArea type="data" outline="0" fieldPosition="0">
        <references count="2">
          <reference field="4294967294" count="1" selected="0">
            <x v="0"/>
          </reference>
          <reference field="0" count="1" selected="0">
            <x v="4"/>
          </reference>
        </references>
      </pivotArea>
    </chartFormat>
    <chartFormat chart="22" format="38" series="1">
      <pivotArea type="data" outline="0" fieldPosition="0">
        <references count="2">
          <reference field="4294967294" count="1" selected="0">
            <x v="0"/>
          </reference>
          <reference field="0" count="1" selected="0">
            <x v="5"/>
          </reference>
        </references>
      </pivotArea>
    </chartFormat>
    <chartFormat chart="22" format="39" series="1">
      <pivotArea type="data" outline="0" fieldPosition="0">
        <references count="2">
          <reference field="4294967294" count="1" selected="0">
            <x v="0"/>
          </reference>
          <reference field="0" count="1" selected="0">
            <x v="6"/>
          </reference>
        </references>
      </pivotArea>
    </chartFormat>
    <chartFormat chart="22" format="40" series="1">
      <pivotArea type="data" outline="0" fieldPosition="0">
        <references count="2">
          <reference field="4294967294" count="1" selected="0">
            <x v="0"/>
          </reference>
          <reference field="0" count="1" selected="0">
            <x v="7"/>
          </reference>
        </references>
      </pivotArea>
    </chartFormat>
    <chartFormat chart="22" format="41" series="1">
      <pivotArea type="data" outline="0" fieldPosition="0">
        <references count="2">
          <reference field="4294967294" count="1" selected="0">
            <x v="0"/>
          </reference>
          <reference field="0" count="1" selected="0">
            <x v="8"/>
          </reference>
        </references>
      </pivotArea>
    </chartFormat>
    <chartFormat chart="22" format="42" series="1">
      <pivotArea type="data" outline="0" fieldPosition="0">
        <references count="2">
          <reference field="4294967294" count="1" selected="0">
            <x v="0"/>
          </reference>
          <reference field="0" count="1" selected="0">
            <x v="9"/>
          </reference>
        </references>
      </pivotArea>
    </chartFormat>
    <chartFormat chart="22" format="43" series="1">
      <pivotArea type="data" outline="0" fieldPosition="0">
        <references count="2">
          <reference field="4294967294" count="1" selected="0">
            <x v="0"/>
          </reference>
          <reference field="0" count="1" selected="0">
            <x v="10"/>
          </reference>
        </references>
      </pivotArea>
    </chartFormat>
    <chartFormat chart="22" format="44" series="1">
      <pivotArea type="data" outline="0" fieldPosition="0">
        <references count="2">
          <reference field="4294967294" count="1" selected="0">
            <x v="0"/>
          </reference>
          <reference field="0" count="1" selected="0">
            <x v="11"/>
          </reference>
        </references>
      </pivotArea>
    </chartFormat>
    <chartFormat chart="22" format="45" series="1">
      <pivotArea type="data" outline="0" fieldPosition="0">
        <references count="2">
          <reference field="4294967294" count="1" selected="0">
            <x v="0"/>
          </reference>
          <reference field="0" count="1" selected="0">
            <x v="12"/>
          </reference>
        </references>
      </pivotArea>
    </chartFormat>
    <chartFormat chart="22" format="46" series="1">
      <pivotArea type="data" outline="0" fieldPosition="0">
        <references count="2">
          <reference field="4294967294" count="1" selected="0">
            <x v="0"/>
          </reference>
          <reference field="0" count="1" selected="0">
            <x v="13"/>
          </reference>
        </references>
      </pivotArea>
    </chartFormat>
    <chartFormat chart="22" format="47" series="1">
      <pivotArea type="data" outline="0" fieldPosition="0">
        <references count="2">
          <reference field="4294967294" count="1" selected="0">
            <x v="0"/>
          </reference>
          <reference field="0" count="1" selected="0">
            <x v="14"/>
          </reference>
        </references>
      </pivotArea>
    </chartFormat>
    <chartFormat chart="22" format="48" series="1">
      <pivotArea type="data" outline="0" fieldPosition="0">
        <references count="2">
          <reference field="4294967294" count="1" selected="0">
            <x v="0"/>
          </reference>
          <reference field="0"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F0894B53-0AB2-4B03-A28E-6C3C4611E10E}" sourceName="Company Nam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0E11D4D-FAF3-41D6-8EDB-3488037BF00A}" sourceName="Stat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5B36CC-91B0-4EF3-8AC8-8DCDABDA1C4E}" sourceName="Year">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98EBF03E-F595-46C6-8E7C-D7343CC86C58}" sourceName="Company">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Name" xr10:uid="{F9C68E01-5040-4B49-8D0A-ACA846D837CC}" cache="Slicer_Company_Name" caption="Company Name" rowHeight="241300"/>
  <slicer name="State" xr10:uid="{C1D92A08-8A4D-49E9-91E8-4F40C7280B7A}" cache="Slicer_State" caption="State" rowHeight="241300"/>
  <slicer name="Year" xr10:uid="{45A105AD-A9CC-4609-908A-13977DB013C0}"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9ECB5E92-9B1D-488D-857A-136E43065A26}" cache="Slicer_Company" caption="Compan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E1E28B06-3547-49DF-A341-AD9DC0741B19}" cache="Slicer_State" caption="State" rowHeight="241300"/>
  <slicer name="Company 1" xr10:uid="{2F902A45-8A17-4B6E-8544-6CD35210A9AB}" cache="Slicer_Company" caption="Compan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11A66F-23F0-42BC-9077-C6480D62D67D}" name="Table1" displayName="Table1" ref="A1:F161" totalsRowShown="0" headerRowDxfId="10" headerRowBorderDxfId="9" tableBorderDxfId="8">
  <autoFilter ref="A1:F161" xr:uid="{0C11A66F-23F0-42BC-9077-C6480D62D67D}"/>
  <tableColumns count="6">
    <tableColumn id="1" xr3:uid="{9BA69FBB-15A0-41CB-A0F8-C4CB0408EB53}" name="Company Name"/>
    <tableColumn id="2" xr3:uid="{D5B2A4E8-3602-4BE2-A34B-69439F524AED}" name="State"/>
    <tableColumn id="3" xr3:uid="{DD03D770-3D29-48C5-A93B-3553DA1D8F98}" name="Price (INR per carat)"/>
    <tableColumn id="4" xr3:uid="{0E20A5FC-2697-4952-8257-54316B9319FC}" name="Year"/>
    <tableColumn id="5" xr3:uid="{61FDD515-7310-4252-B09F-69A5731D5A40}" name="Turnover (Million USD)" dataDxfId="7" dataCellStyle="Currency"/>
    <tableColumn id="6" xr3:uid="{1E8A9303-9E26-4735-841B-51676C2DB19D}" name="Number of Employe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43ED35-E1F5-463E-8771-9C51B3F22B5F}" name="Table2" displayName="Table2" ref="A1:E17" totalsRowShown="0" headerRowDxfId="6" dataDxfId="5">
  <autoFilter ref="A1:E17" xr:uid="{9743ED35-E1F5-463E-8771-9C51B3F22B5F}">
    <filterColumn colId="0">
      <filters>
        <filter val="Shree Diamond Co."/>
      </filters>
    </filterColumn>
  </autoFilter>
  <tableColumns count="5">
    <tableColumn id="1" xr3:uid="{5B97F43C-9607-4F96-B349-8F9A2812EDF4}" name="Company" dataDxfId="4"/>
    <tableColumn id="2" xr3:uid="{A4AF403D-082E-45A4-BED4-C77F9E168C2A}" name="PRICE PER CARAT (2025)" dataDxfId="3"/>
    <tableColumn id="3" xr3:uid="{F939237A-91DB-4BD7-94D0-C95A0B0CF426}" name="PRICE (2026)" dataDxfId="2"/>
    <tableColumn id="4" xr3:uid="{0D50B9E0-3062-4B16-860A-7ACFE2DC655D}" name="TURNOVER  IN MILLON (2025)" dataDxfId="1"/>
    <tableColumn id="5" xr3:uid="{DB4E41E2-11A8-4034-851D-C6720657B8D8}" name="TURNOVER IN MILLON(2026)"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1"/>
  <sheetViews>
    <sheetView workbookViewId="0">
      <selection activeCell="D72" sqref="D72"/>
    </sheetView>
  </sheetViews>
  <sheetFormatPr defaultRowHeight="14.5" x14ac:dyDescent="0.35"/>
  <cols>
    <col min="1" max="1" width="20.26953125" bestFit="1" customWidth="1"/>
    <col min="2" max="2" width="11.6328125" bestFit="1" customWidth="1"/>
    <col min="3" max="3" width="19.54296875" customWidth="1"/>
    <col min="4" max="4" width="6.54296875" customWidth="1"/>
    <col min="5" max="5" width="21.81640625" style="7" customWidth="1"/>
    <col min="6" max="6" width="21.26953125" customWidth="1"/>
    <col min="7" max="7" width="23.26953125" bestFit="1" customWidth="1"/>
  </cols>
  <sheetData>
    <row r="1" spans="1:6" x14ac:dyDescent="0.35">
      <c r="A1" s="1" t="s">
        <v>0</v>
      </c>
      <c r="B1" s="1" t="s">
        <v>1</v>
      </c>
      <c r="C1" s="1" t="s">
        <v>2</v>
      </c>
      <c r="D1" s="1" t="s">
        <v>3</v>
      </c>
      <c r="E1" s="6" t="s">
        <v>4</v>
      </c>
      <c r="F1" s="1" t="s">
        <v>5</v>
      </c>
    </row>
    <row r="2" spans="1:6" x14ac:dyDescent="0.35">
      <c r="A2" t="s">
        <v>6</v>
      </c>
      <c r="B2" t="s">
        <v>22</v>
      </c>
      <c r="C2">
        <v>33056</v>
      </c>
      <c r="D2">
        <v>2014</v>
      </c>
      <c r="E2" s="7">
        <v>15</v>
      </c>
      <c r="F2">
        <v>426</v>
      </c>
    </row>
    <row r="3" spans="1:6" x14ac:dyDescent="0.35">
      <c r="A3" t="s">
        <v>6</v>
      </c>
      <c r="B3" t="s">
        <v>22</v>
      </c>
      <c r="C3">
        <v>55216</v>
      </c>
      <c r="D3">
        <v>2015</v>
      </c>
      <c r="E3" s="7">
        <v>22</v>
      </c>
      <c r="F3">
        <v>130</v>
      </c>
    </row>
    <row r="4" spans="1:6" x14ac:dyDescent="0.35">
      <c r="A4" t="s">
        <v>6</v>
      </c>
      <c r="B4" t="s">
        <v>22</v>
      </c>
      <c r="C4">
        <v>65230</v>
      </c>
      <c r="D4">
        <v>2016</v>
      </c>
      <c r="E4" s="7">
        <v>42</v>
      </c>
      <c r="F4">
        <v>225</v>
      </c>
    </row>
    <row r="5" spans="1:6" x14ac:dyDescent="0.35">
      <c r="A5" t="s">
        <v>6</v>
      </c>
      <c r="B5" t="s">
        <v>22</v>
      </c>
      <c r="C5">
        <v>63180</v>
      </c>
      <c r="D5">
        <v>2017</v>
      </c>
      <c r="E5" s="7">
        <v>36</v>
      </c>
      <c r="F5">
        <v>274</v>
      </c>
    </row>
    <row r="6" spans="1:6" x14ac:dyDescent="0.35">
      <c r="A6" t="s">
        <v>6</v>
      </c>
      <c r="B6" t="s">
        <v>22</v>
      </c>
      <c r="C6">
        <v>65624</v>
      </c>
      <c r="D6">
        <v>2018</v>
      </c>
      <c r="E6" s="7">
        <v>47</v>
      </c>
      <c r="F6">
        <v>253</v>
      </c>
    </row>
    <row r="7" spans="1:6" x14ac:dyDescent="0.35">
      <c r="A7" t="s">
        <v>6</v>
      </c>
      <c r="B7" t="s">
        <v>22</v>
      </c>
      <c r="C7">
        <v>55482</v>
      </c>
      <c r="D7">
        <v>2019</v>
      </c>
      <c r="E7" s="7">
        <v>38</v>
      </c>
      <c r="F7">
        <v>122</v>
      </c>
    </row>
    <row r="8" spans="1:6" x14ac:dyDescent="0.35">
      <c r="A8" t="s">
        <v>6</v>
      </c>
      <c r="B8" t="s">
        <v>22</v>
      </c>
      <c r="C8">
        <v>65496</v>
      </c>
      <c r="D8">
        <v>2020</v>
      </c>
      <c r="E8" s="7">
        <v>20</v>
      </c>
      <c r="F8">
        <v>466</v>
      </c>
    </row>
    <row r="9" spans="1:6" x14ac:dyDescent="0.35">
      <c r="A9" t="s">
        <v>6</v>
      </c>
      <c r="B9" t="s">
        <v>22</v>
      </c>
      <c r="C9">
        <v>74808</v>
      </c>
      <c r="D9">
        <v>2021</v>
      </c>
      <c r="E9" s="7">
        <v>19</v>
      </c>
      <c r="F9">
        <v>377</v>
      </c>
    </row>
    <row r="10" spans="1:6" x14ac:dyDescent="0.35">
      <c r="A10" t="s">
        <v>6</v>
      </c>
      <c r="B10" t="s">
        <v>22</v>
      </c>
      <c r="C10">
        <v>77677</v>
      </c>
      <c r="D10">
        <v>2022</v>
      </c>
      <c r="E10" s="7">
        <v>13</v>
      </c>
      <c r="F10">
        <v>230</v>
      </c>
    </row>
    <row r="11" spans="1:6" x14ac:dyDescent="0.35">
      <c r="A11" t="s">
        <v>6</v>
      </c>
      <c r="B11" t="s">
        <v>22</v>
      </c>
      <c r="C11">
        <v>77712</v>
      </c>
      <c r="D11">
        <v>2023</v>
      </c>
      <c r="E11" s="7">
        <v>25</v>
      </c>
      <c r="F11">
        <v>489</v>
      </c>
    </row>
    <row r="12" spans="1:6" x14ac:dyDescent="0.35">
      <c r="A12" t="s">
        <v>7</v>
      </c>
      <c r="B12" t="s">
        <v>23</v>
      </c>
      <c r="C12">
        <v>34626</v>
      </c>
      <c r="D12">
        <v>2014</v>
      </c>
      <c r="E12" s="7">
        <v>24</v>
      </c>
      <c r="F12">
        <v>146</v>
      </c>
    </row>
    <row r="13" spans="1:6" x14ac:dyDescent="0.35">
      <c r="A13" t="s">
        <v>7</v>
      </c>
      <c r="B13" t="s">
        <v>23</v>
      </c>
      <c r="C13">
        <v>54859</v>
      </c>
      <c r="D13">
        <v>2015</v>
      </c>
      <c r="E13" s="7">
        <v>33</v>
      </c>
      <c r="F13">
        <v>237</v>
      </c>
    </row>
    <row r="14" spans="1:6" x14ac:dyDescent="0.35">
      <c r="A14" t="s">
        <v>7</v>
      </c>
      <c r="B14" t="s">
        <v>23</v>
      </c>
      <c r="C14">
        <v>65601</v>
      </c>
      <c r="D14">
        <v>2016</v>
      </c>
      <c r="E14" s="7">
        <v>42</v>
      </c>
      <c r="F14">
        <v>193</v>
      </c>
    </row>
    <row r="15" spans="1:6" x14ac:dyDescent="0.35">
      <c r="A15" t="s">
        <v>7</v>
      </c>
      <c r="B15" t="s">
        <v>23</v>
      </c>
      <c r="C15">
        <v>65737</v>
      </c>
      <c r="D15">
        <v>2017</v>
      </c>
      <c r="E15" s="7">
        <v>43</v>
      </c>
      <c r="F15">
        <v>302</v>
      </c>
    </row>
    <row r="16" spans="1:6" x14ac:dyDescent="0.35">
      <c r="A16" t="s">
        <v>7</v>
      </c>
      <c r="B16" t="s">
        <v>23</v>
      </c>
      <c r="C16">
        <v>66719</v>
      </c>
      <c r="D16">
        <v>2018</v>
      </c>
      <c r="E16" s="7">
        <v>43</v>
      </c>
      <c r="F16">
        <v>237</v>
      </c>
    </row>
    <row r="17" spans="1:6" x14ac:dyDescent="0.35">
      <c r="A17" t="s">
        <v>7</v>
      </c>
      <c r="B17" t="s">
        <v>23</v>
      </c>
      <c r="C17">
        <v>66001</v>
      </c>
      <c r="D17">
        <v>2019</v>
      </c>
      <c r="E17" s="7">
        <v>34</v>
      </c>
      <c r="F17">
        <v>406</v>
      </c>
    </row>
    <row r="18" spans="1:6" x14ac:dyDescent="0.35">
      <c r="A18" t="s">
        <v>7</v>
      </c>
      <c r="B18" t="s">
        <v>23</v>
      </c>
      <c r="C18">
        <v>66214</v>
      </c>
      <c r="D18">
        <v>2020</v>
      </c>
      <c r="E18" s="7">
        <v>11</v>
      </c>
      <c r="F18">
        <v>258</v>
      </c>
    </row>
    <row r="19" spans="1:6" x14ac:dyDescent="0.35">
      <c r="A19" t="s">
        <v>7</v>
      </c>
      <c r="B19" t="s">
        <v>23</v>
      </c>
      <c r="C19">
        <v>56166</v>
      </c>
      <c r="D19">
        <v>2021</v>
      </c>
      <c r="E19" s="7">
        <v>42</v>
      </c>
      <c r="F19">
        <v>496</v>
      </c>
    </row>
    <row r="20" spans="1:6" x14ac:dyDescent="0.35">
      <c r="A20" t="s">
        <v>7</v>
      </c>
      <c r="B20" t="s">
        <v>23</v>
      </c>
      <c r="C20">
        <v>74674</v>
      </c>
      <c r="D20">
        <v>2022</v>
      </c>
      <c r="E20" s="7">
        <v>45</v>
      </c>
      <c r="F20">
        <v>155</v>
      </c>
    </row>
    <row r="21" spans="1:6" x14ac:dyDescent="0.35">
      <c r="A21" t="s">
        <v>7</v>
      </c>
      <c r="B21" t="s">
        <v>23</v>
      </c>
      <c r="C21">
        <v>77757</v>
      </c>
      <c r="D21">
        <v>2023</v>
      </c>
      <c r="E21" s="7">
        <v>11</v>
      </c>
      <c r="F21">
        <v>192</v>
      </c>
    </row>
    <row r="22" spans="1:6" x14ac:dyDescent="0.35">
      <c r="A22" t="s">
        <v>8</v>
      </c>
      <c r="B22" t="s">
        <v>22</v>
      </c>
      <c r="C22">
        <v>35672</v>
      </c>
      <c r="D22">
        <v>2014</v>
      </c>
      <c r="E22" s="7">
        <v>42</v>
      </c>
      <c r="F22">
        <v>163</v>
      </c>
    </row>
    <row r="23" spans="1:6" x14ac:dyDescent="0.35">
      <c r="A23" t="s">
        <v>8</v>
      </c>
      <c r="B23" t="s">
        <v>22</v>
      </c>
      <c r="C23">
        <v>46694</v>
      </c>
      <c r="D23">
        <v>2015</v>
      </c>
      <c r="E23" s="7">
        <v>43</v>
      </c>
      <c r="F23">
        <v>193</v>
      </c>
    </row>
    <row r="24" spans="1:6" x14ac:dyDescent="0.35">
      <c r="A24" t="s">
        <v>8</v>
      </c>
      <c r="B24" t="s">
        <v>22</v>
      </c>
      <c r="C24">
        <v>45998</v>
      </c>
      <c r="D24">
        <v>2016</v>
      </c>
      <c r="E24" s="7">
        <v>41</v>
      </c>
      <c r="F24">
        <v>312</v>
      </c>
    </row>
    <row r="25" spans="1:6" x14ac:dyDescent="0.35">
      <c r="A25" t="s">
        <v>8</v>
      </c>
      <c r="B25" t="s">
        <v>22</v>
      </c>
      <c r="C25">
        <v>54009</v>
      </c>
      <c r="D25">
        <v>2017</v>
      </c>
      <c r="E25" s="7">
        <v>30</v>
      </c>
      <c r="F25">
        <v>217</v>
      </c>
    </row>
    <row r="26" spans="1:6" x14ac:dyDescent="0.35">
      <c r="A26" t="s">
        <v>8</v>
      </c>
      <c r="B26" t="s">
        <v>22</v>
      </c>
      <c r="C26">
        <v>46162</v>
      </c>
      <c r="D26">
        <v>2018</v>
      </c>
      <c r="E26" s="7">
        <v>13</v>
      </c>
      <c r="F26">
        <v>122</v>
      </c>
    </row>
    <row r="27" spans="1:6" x14ac:dyDescent="0.35">
      <c r="A27" t="s">
        <v>8</v>
      </c>
      <c r="B27" t="s">
        <v>22</v>
      </c>
      <c r="C27">
        <v>56894</v>
      </c>
      <c r="D27">
        <v>2019</v>
      </c>
      <c r="E27" s="7">
        <v>46</v>
      </c>
      <c r="F27">
        <v>312</v>
      </c>
    </row>
    <row r="28" spans="1:6" x14ac:dyDescent="0.35">
      <c r="A28" t="s">
        <v>8</v>
      </c>
      <c r="B28" t="s">
        <v>22</v>
      </c>
      <c r="C28">
        <v>65236</v>
      </c>
      <c r="D28">
        <v>2020</v>
      </c>
      <c r="E28" s="7">
        <v>38</v>
      </c>
      <c r="F28">
        <v>361</v>
      </c>
    </row>
    <row r="29" spans="1:6" x14ac:dyDescent="0.35">
      <c r="A29" t="s">
        <v>8</v>
      </c>
      <c r="B29" t="s">
        <v>22</v>
      </c>
      <c r="C29">
        <v>64481</v>
      </c>
      <c r="D29">
        <v>2021</v>
      </c>
      <c r="E29" s="7">
        <v>13</v>
      </c>
      <c r="F29">
        <v>159</v>
      </c>
    </row>
    <row r="30" spans="1:6" x14ac:dyDescent="0.35">
      <c r="A30" t="s">
        <v>8</v>
      </c>
      <c r="B30" t="s">
        <v>22</v>
      </c>
      <c r="C30">
        <v>66918</v>
      </c>
      <c r="D30">
        <v>2022</v>
      </c>
      <c r="E30" s="7">
        <v>35</v>
      </c>
      <c r="F30">
        <v>105</v>
      </c>
    </row>
    <row r="31" spans="1:6" x14ac:dyDescent="0.35">
      <c r="A31" t="s">
        <v>8</v>
      </c>
      <c r="B31" t="s">
        <v>22</v>
      </c>
      <c r="C31">
        <v>66222</v>
      </c>
      <c r="D31">
        <v>2023</v>
      </c>
      <c r="E31" s="7">
        <v>28</v>
      </c>
      <c r="F31">
        <v>160</v>
      </c>
    </row>
    <row r="32" spans="1:6" x14ac:dyDescent="0.35">
      <c r="A32" t="s">
        <v>9</v>
      </c>
      <c r="B32" t="s">
        <v>24</v>
      </c>
      <c r="C32">
        <v>35610</v>
      </c>
      <c r="D32">
        <v>2014</v>
      </c>
      <c r="E32" s="7">
        <v>43</v>
      </c>
      <c r="F32">
        <v>380</v>
      </c>
    </row>
    <row r="33" spans="1:6" x14ac:dyDescent="0.35">
      <c r="A33" t="s">
        <v>9</v>
      </c>
      <c r="B33" t="s">
        <v>24</v>
      </c>
      <c r="C33">
        <v>35403</v>
      </c>
      <c r="D33">
        <v>2015</v>
      </c>
      <c r="E33" s="7">
        <v>18</v>
      </c>
      <c r="F33">
        <v>393</v>
      </c>
    </row>
    <row r="34" spans="1:6" x14ac:dyDescent="0.35">
      <c r="A34" t="s">
        <v>9</v>
      </c>
      <c r="B34" t="s">
        <v>24</v>
      </c>
      <c r="C34">
        <v>37405</v>
      </c>
      <c r="D34">
        <v>2016</v>
      </c>
      <c r="E34" s="7">
        <v>46</v>
      </c>
      <c r="F34">
        <v>178</v>
      </c>
    </row>
    <row r="35" spans="1:6" x14ac:dyDescent="0.35">
      <c r="A35" t="s">
        <v>9</v>
      </c>
      <c r="B35" t="s">
        <v>24</v>
      </c>
      <c r="C35">
        <v>47181</v>
      </c>
      <c r="D35">
        <v>2017</v>
      </c>
      <c r="E35" s="7">
        <v>43</v>
      </c>
      <c r="F35">
        <v>312</v>
      </c>
    </row>
    <row r="36" spans="1:6" x14ac:dyDescent="0.35">
      <c r="A36" t="s">
        <v>9</v>
      </c>
      <c r="B36" t="s">
        <v>24</v>
      </c>
      <c r="C36">
        <v>43885</v>
      </c>
      <c r="D36">
        <v>2018</v>
      </c>
      <c r="E36" s="7">
        <v>14</v>
      </c>
      <c r="F36">
        <v>421</v>
      </c>
    </row>
    <row r="37" spans="1:6" x14ac:dyDescent="0.35">
      <c r="A37" t="s">
        <v>9</v>
      </c>
      <c r="B37" t="s">
        <v>24</v>
      </c>
      <c r="C37">
        <v>53496</v>
      </c>
      <c r="D37">
        <v>2019</v>
      </c>
      <c r="E37" s="7">
        <v>18</v>
      </c>
      <c r="F37">
        <v>129</v>
      </c>
    </row>
    <row r="38" spans="1:6" x14ac:dyDescent="0.35">
      <c r="A38" t="s">
        <v>9</v>
      </c>
      <c r="B38" t="s">
        <v>24</v>
      </c>
      <c r="C38">
        <v>56012</v>
      </c>
      <c r="D38">
        <v>2020</v>
      </c>
      <c r="E38" s="7">
        <v>31</v>
      </c>
      <c r="F38">
        <v>123</v>
      </c>
    </row>
    <row r="39" spans="1:6" x14ac:dyDescent="0.35">
      <c r="A39" t="s">
        <v>9</v>
      </c>
      <c r="B39" t="s">
        <v>24</v>
      </c>
      <c r="C39">
        <v>65498</v>
      </c>
      <c r="D39">
        <v>2021</v>
      </c>
      <c r="E39" s="7">
        <v>21</v>
      </c>
      <c r="F39">
        <v>298</v>
      </c>
    </row>
    <row r="40" spans="1:6" x14ac:dyDescent="0.35">
      <c r="A40" t="s">
        <v>9</v>
      </c>
      <c r="B40" t="s">
        <v>24</v>
      </c>
      <c r="C40">
        <v>66720</v>
      </c>
      <c r="D40">
        <v>2022</v>
      </c>
      <c r="E40" s="7">
        <v>16</v>
      </c>
      <c r="F40">
        <v>475</v>
      </c>
    </row>
    <row r="41" spans="1:6" x14ac:dyDescent="0.35">
      <c r="A41" t="s">
        <v>9</v>
      </c>
      <c r="B41" t="s">
        <v>24</v>
      </c>
      <c r="C41">
        <v>75465</v>
      </c>
      <c r="D41">
        <v>2023</v>
      </c>
      <c r="E41" s="7">
        <v>40</v>
      </c>
      <c r="F41">
        <v>152</v>
      </c>
    </row>
    <row r="42" spans="1:6" x14ac:dyDescent="0.35">
      <c r="A42" t="s">
        <v>10</v>
      </c>
      <c r="B42" t="s">
        <v>22</v>
      </c>
      <c r="C42">
        <v>37437</v>
      </c>
      <c r="D42">
        <v>2014</v>
      </c>
      <c r="E42" s="7">
        <v>24</v>
      </c>
      <c r="F42">
        <v>145</v>
      </c>
    </row>
    <row r="43" spans="1:6" x14ac:dyDescent="0.35">
      <c r="A43" t="s">
        <v>10</v>
      </c>
      <c r="B43" t="s">
        <v>22</v>
      </c>
      <c r="C43">
        <v>36700</v>
      </c>
      <c r="D43">
        <v>2015</v>
      </c>
      <c r="E43" s="7">
        <v>35</v>
      </c>
      <c r="F43">
        <v>114</v>
      </c>
    </row>
    <row r="44" spans="1:6" x14ac:dyDescent="0.35">
      <c r="A44" t="s">
        <v>10</v>
      </c>
      <c r="B44" t="s">
        <v>22</v>
      </c>
      <c r="C44">
        <v>36405</v>
      </c>
      <c r="D44">
        <v>2016</v>
      </c>
      <c r="E44" s="7">
        <v>42</v>
      </c>
      <c r="F44">
        <v>230</v>
      </c>
    </row>
    <row r="45" spans="1:6" x14ac:dyDescent="0.35">
      <c r="A45" t="s">
        <v>10</v>
      </c>
      <c r="B45" t="s">
        <v>22</v>
      </c>
      <c r="C45">
        <v>46286</v>
      </c>
      <c r="D45">
        <v>2017</v>
      </c>
      <c r="E45" s="7">
        <v>11</v>
      </c>
      <c r="F45">
        <v>331</v>
      </c>
    </row>
    <row r="46" spans="1:6" x14ac:dyDescent="0.35">
      <c r="A46" t="s">
        <v>10</v>
      </c>
      <c r="B46" t="s">
        <v>22</v>
      </c>
      <c r="C46">
        <v>46803</v>
      </c>
      <c r="D46">
        <v>2018</v>
      </c>
      <c r="E46" s="7">
        <v>23</v>
      </c>
      <c r="F46">
        <v>276</v>
      </c>
    </row>
    <row r="47" spans="1:6" x14ac:dyDescent="0.35">
      <c r="A47" t="s">
        <v>10</v>
      </c>
      <c r="B47" t="s">
        <v>22</v>
      </c>
      <c r="C47">
        <v>45828</v>
      </c>
      <c r="D47">
        <v>2019</v>
      </c>
      <c r="E47" s="7">
        <v>44</v>
      </c>
      <c r="F47">
        <v>221</v>
      </c>
    </row>
    <row r="48" spans="1:6" x14ac:dyDescent="0.35">
      <c r="A48" t="s">
        <v>10</v>
      </c>
      <c r="B48" t="s">
        <v>22</v>
      </c>
      <c r="C48">
        <v>57290</v>
      </c>
      <c r="D48">
        <v>2020</v>
      </c>
      <c r="E48" s="7">
        <v>14</v>
      </c>
      <c r="F48">
        <v>381</v>
      </c>
    </row>
    <row r="49" spans="1:6" x14ac:dyDescent="0.35">
      <c r="A49" t="s">
        <v>10</v>
      </c>
      <c r="B49" t="s">
        <v>22</v>
      </c>
      <c r="C49">
        <v>57461</v>
      </c>
      <c r="D49">
        <v>2021</v>
      </c>
      <c r="E49" s="7">
        <v>34</v>
      </c>
      <c r="F49">
        <v>344</v>
      </c>
    </row>
    <row r="50" spans="1:6" x14ac:dyDescent="0.35">
      <c r="A50" t="s">
        <v>10</v>
      </c>
      <c r="B50" t="s">
        <v>22</v>
      </c>
      <c r="C50">
        <v>63612</v>
      </c>
      <c r="D50">
        <v>2022</v>
      </c>
      <c r="E50" s="7">
        <v>31</v>
      </c>
      <c r="F50">
        <v>325</v>
      </c>
    </row>
    <row r="51" spans="1:6" x14ac:dyDescent="0.35">
      <c r="A51" t="s">
        <v>10</v>
      </c>
      <c r="B51" t="s">
        <v>22</v>
      </c>
      <c r="C51">
        <v>73765</v>
      </c>
      <c r="D51">
        <v>2023</v>
      </c>
      <c r="E51" s="7">
        <v>10</v>
      </c>
      <c r="F51">
        <v>147</v>
      </c>
    </row>
    <row r="52" spans="1:6" x14ac:dyDescent="0.35">
      <c r="A52" t="s">
        <v>11</v>
      </c>
      <c r="B52" t="s">
        <v>24</v>
      </c>
      <c r="C52">
        <v>33366</v>
      </c>
      <c r="D52">
        <v>2014</v>
      </c>
      <c r="E52" s="7">
        <v>15</v>
      </c>
      <c r="F52">
        <v>196</v>
      </c>
    </row>
    <row r="53" spans="1:6" x14ac:dyDescent="0.35">
      <c r="A53" t="s">
        <v>11</v>
      </c>
      <c r="B53" t="s">
        <v>24</v>
      </c>
      <c r="C53">
        <v>33452</v>
      </c>
      <c r="D53">
        <v>2015</v>
      </c>
      <c r="E53" s="7">
        <v>30</v>
      </c>
      <c r="F53">
        <v>441</v>
      </c>
    </row>
    <row r="54" spans="1:6" x14ac:dyDescent="0.35">
      <c r="A54" t="s">
        <v>11</v>
      </c>
      <c r="B54" t="s">
        <v>24</v>
      </c>
      <c r="C54">
        <v>37142</v>
      </c>
      <c r="D54">
        <v>2016</v>
      </c>
      <c r="E54" s="7">
        <v>42</v>
      </c>
      <c r="F54">
        <v>183</v>
      </c>
    </row>
    <row r="55" spans="1:6" x14ac:dyDescent="0.35">
      <c r="A55" t="s">
        <v>11</v>
      </c>
      <c r="B55" t="s">
        <v>24</v>
      </c>
      <c r="C55">
        <v>46567</v>
      </c>
      <c r="D55">
        <v>2017</v>
      </c>
      <c r="E55" s="7">
        <v>32</v>
      </c>
      <c r="F55">
        <v>455</v>
      </c>
    </row>
    <row r="56" spans="1:6" x14ac:dyDescent="0.35">
      <c r="A56" t="s">
        <v>11</v>
      </c>
      <c r="B56" t="s">
        <v>24</v>
      </c>
      <c r="C56">
        <v>46581</v>
      </c>
      <c r="D56">
        <v>2018</v>
      </c>
      <c r="E56" s="7">
        <v>29</v>
      </c>
      <c r="F56">
        <v>151</v>
      </c>
    </row>
    <row r="57" spans="1:6" x14ac:dyDescent="0.35">
      <c r="A57" t="s">
        <v>11</v>
      </c>
      <c r="B57" t="s">
        <v>24</v>
      </c>
      <c r="C57">
        <v>47930</v>
      </c>
      <c r="D57">
        <v>2019</v>
      </c>
      <c r="E57" s="7">
        <v>29</v>
      </c>
      <c r="F57">
        <v>240</v>
      </c>
    </row>
    <row r="58" spans="1:6" x14ac:dyDescent="0.35">
      <c r="A58" t="s">
        <v>11</v>
      </c>
      <c r="B58" t="s">
        <v>24</v>
      </c>
      <c r="C58">
        <v>56096</v>
      </c>
      <c r="D58">
        <v>2020</v>
      </c>
      <c r="E58" s="7">
        <v>16</v>
      </c>
      <c r="F58">
        <v>397</v>
      </c>
    </row>
    <row r="59" spans="1:6" x14ac:dyDescent="0.35">
      <c r="A59" t="s">
        <v>11</v>
      </c>
      <c r="B59" t="s">
        <v>24</v>
      </c>
      <c r="C59">
        <v>65235</v>
      </c>
      <c r="D59">
        <v>2021</v>
      </c>
      <c r="E59" s="7">
        <v>13</v>
      </c>
      <c r="F59">
        <v>485</v>
      </c>
    </row>
    <row r="60" spans="1:6" x14ac:dyDescent="0.35">
      <c r="A60" t="s">
        <v>11</v>
      </c>
      <c r="B60" t="s">
        <v>24</v>
      </c>
      <c r="C60">
        <v>64872</v>
      </c>
      <c r="D60">
        <v>2022</v>
      </c>
      <c r="E60" s="7">
        <v>42</v>
      </c>
      <c r="F60">
        <v>233</v>
      </c>
    </row>
    <row r="61" spans="1:6" x14ac:dyDescent="0.35">
      <c r="A61" t="s">
        <v>11</v>
      </c>
      <c r="B61" t="s">
        <v>24</v>
      </c>
      <c r="C61">
        <v>75854</v>
      </c>
      <c r="D61">
        <v>2023</v>
      </c>
      <c r="E61" s="7">
        <v>42</v>
      </c>
      <c r="F61">
        <v>283</v>
      </c>
    </row>
    <row r="62" spans="1:6" x14ac:dyDescent="0.35">
      <c r="A62" t="s">
        <v>12</v>
      </c>
      <c r="B62" t="s">
        <v>23</v>
      </c>
      <c r="C62">
        <v>35818</v>
      </c>
      <c r="D62">
        <v>2014</v>
      </c>
      <c r="E62" s="7">
        <v>36</v>
      </c>
      <c r="F62">
        <v>254</v>
      </c>
    </row>
    <row r="63" spans="1:6" x14ac:dyDescent="0.35">
      <c r="A63" t="s">
        <v>12</v>
      </c>
      <c r="B63" t="s">
        <v>23</v>
      </c>
      <c r="C63">
        <v>36231</v>
      </c>
      <c r="D63">
        <v>2015</v>
      </c>
      <c r="E63" s="7">
        <v>44</v>
      </c>
      <c r="F63">
        <v>352</v>
      </c>
    </row>
    <row r="64" spans="1:6" x14ac:dyDescent="0.35">
      <c r="A64" t="s">
        <v>12</v>
      </c>
      <c r="B64" t="s">
        <v>23</v>
      </c>
      <c r="C64">
        <v>44125</v>
      </c>
      <c r="D64">
        <v>2016</v>
      </c>
      <c r="E64" s="7">
        <v>36</v>
      </c>
      <c r="F64">
        <v>129</v>
      </c>
    </row>
    <row r="65" spans="1:6" x14ac:dyDescent="0.35">
      <c r="A65" t="s">
        <v>12</v>
      </c>
      <c r="B65" t="s">
        <v>23</v>
      </c>
      <c r="C65">
        <v>47883</v>
      </c>
      <c r="D65">
        <v>2017</v>
      </c>
      <c r="E65" s="7">
        <v>15</v>
      </c>
      <c r="F65">
        <v>239</v>
      </c>
    </row>
    <row r="66" spans="1:6" x14ac:dyDescent="0.35">
      <c r="A66" t="s">
        <v>12</v>
      </c>
      <c r="B66" t="s">
        <v>23</v>
      </c>
      <c r="C66">
        <v>47940</v>
      </c>
      <c r="D66">
        <v>2018</v>
      </c>
      <c r="E66" s="7">
        <v>32</v>
      </c>
      <c r="F66">
        <v>370</v>
      </c>
    </row>
    <row r="67" spans="1:6" x14ac:dyDescent="0.35">
      <c r="A67" t="s">
        <v>12</v>
      </c>
      <c r="B67" t="s">
        <v>23</v>
      </c>
      <c r="C67">
        <v>47534</v>
      </c>
      <c r="D67">
        <v>2019</v>
      </c>
      <c r="E67" s="7">
        <v>46</v>
      </c>
      <c r="F67">
        <v>107</v>
      </c>
    </row>
    <row r="68" spans="1:6" x14ac:dyDescent="0.35">
      <c r="A68" t="s">
        <v>12</v>
      </c>
      <c r="B68" t="s">
        <v>23</v>
      </c>
      <c r="C68">
        <v>54069</v>
      </c>
      <c r="D68">
        <v>2020</v>
      </c>
      <c r="E68" s="7">
        <v>26</v>
      </c>
      <c r="F68">
        <v>163</v>
      </c>
    </row>
    <row r="69" spans="1:6" x14ac:dyDescent="0.35">
      <c r="A69" t="s">
        <v>12</v>
      </c>
      <c r="B69" t="s">
        <v>23</v>
      </c>
      <c r="C69">
        <v>55317</v>
      </c>
      <c r="D69">
        <v>2021</v>
      </c>
      <c r="E69" s="7">
        <v>34</v>
      </c>
      <c r="F69">
        <v>400</v>
      </c>
    </row>
    <row r="70" spans="1:6" x14ac:dyDescent="0.35">
      <c r="A70" t="s">
        <v>12</v>
      </c>
      <c r="B70" t="s">
        <v>23</v>
      </c>
      <c r="C70">
        <v>55486</v>
      </c>
      <c r="D70">
        <v>2022</v>
      </c>
      <c r="E70" s="7">
        <v>34</v>
      </c>
      <c r="F70">
        <v>113</v>
      </c>
    </row>
    <row r="71" spans="1:6" x14ac:dyDescent="0.35">
      <c r="A71" t="s">
        <v>12</v>
      </c>
      <c r="B71" t="s">
        <v>23</v>
      </c>
      <c r="C71">
        <v>67519</v>
      </c>
      <c r="D71">
        <v>2023</v>
      </c>
      <c r="E71" s="7">
        <v>40</v>
      </c>
      <c r="F71">
        <v>351</v>
      </c>
    </row>
    <row r="72" spans="1:6" x14ac:dyDescent="0.35">
      <c r="A72" t="s">
        <v>13</v>
      </c>
      <c r="B72" t="s">
        <v>22</v>
      </c>
      <c r="C72">
        <v>33825</v>
      </c>
      <c r="D72">
        <v>2014</v>
      </c>
      <c r="E72" s="7">
        <v>36</v>
      </c>
      <c r="F72">
        <v>336</v>
      </c>
    </row>
    <row r="73" spans="1:6" x14ac:dyDescent="0.35">
      <c r="A73" t="s">
        <v>13</v>
      </c>
      <c r="B73" t="s">
        <v>22</v>
      </c>
      <c r="C73">
        <v>37589</v>
      </c>
      <c r="D73">
        <v>2015</v>
      </c>
      <c r="E73" s="7">
        <v>28</v>
      </c>
      <c r="F73">
        <v>108</v>
      </c>
    </row>
    <row r="74" spans="1:6" x14ac:dyDescent="0.35">
      <c r="A74" t="s">
        <v>13</v>
      </c>
      <c r="B74" t="s">
        <v>22</v>
      </c>
      <c r="C74">
        <v>36561</v>
      </c>
      <c r="D74">
        <v>2016</v>
      </c>
      <c r="E74" s="7">
        <v>48</v>
      </c>
      <c r="F74">
        <v>411</v>
      </c>
    </row>
    <row r="75" spans="1:6" x14ac:dyDescent="0.35">
      <c r="A75" t="s">
        <v>13</v>
      </c>
      <c r="B75" t="s">
        <v>22</v>
      </c>
      <c r="C75">
        <v>45086</v>
      </c>
      <c r="D75">
        <v>2017</v>
      </c>
      <c r="E75" s="7">
        <v>37</v>
      </c>
      <c r="F75">
        <v>345</v>
      </c>
    </row>
    <row r="76" spans="1:6" x14ac:dyDescent="0.35">
      <c r="A76" t="s">
        <v>13</v>
      </c>
      <c r="B76" t="s">
        <v>22</v>
      </c>
      <c r="C76">
        <v>44531</v>
      </c>
      <c r="D76">
        <v>2018</v>
      </c>
      <c r="E76" s="7">
        <v>31</v>
      </c>
      <c r="F76">
        <v>474</v>
      </c>
    </row>
    <row r="77" spans="1:6" x14ac:dyDescent="0.35">
      <c r="A77" t="s">
        <v>13</v>
      </c>
      <c r="B77" t="s">
        <v>22</v>
      </c>
      <c r="C77">
        <v>46346</v>
      </c>
      <c r="D77">
        <v>2019</v>
      </c>
      <c r="E77" s="7">
        <v>13</v>
      </c>
      <c r="F77">
        <v>485</v>
      </c>
    </row>
    <row r="78" spans="1:6" x14ac:dyDescent="0.35">
      <c r="A78" t="s">
        <v>13</v>
      </c>
      <c r="B78" t="s">
        <v>22</v>
      </c>
      <c r="C78">
        <v>45462</v>
      </c>
      <c r="D78">
        <v>2020</v>
      </c>
      <c r="E78" s="7">
        <v>23</v>
      </c>
      <c r="F78">
        <v>235</v>
      </c>
    </row>
    <row r="79" spans="1:6" x14ac:dyDescent="0.35">
      <c r="A79" t="s">
        <v>13</v>
      </c>
      <c r="B79" t="s">
        <v>22</v>
      </c>
      <c r="C79">
        <v>54068</v>
      </c>
      <c r="D79">
        <v>2021</v>
      </c>
      <c r="E79" s="7">
        <v>21</v>
      </c>
      <c r="F79">
        <v>198</v>
      </c>
    </row>
    <row r="80" spans="1:6" x14ac:dyDescent="0.35">
      <c r="A80" t="s">
        <v>13</v>
      </c>
      <c r="B80" t="s">
        <v>22</v>
      </c>
      <c r="C80">
        <v>54493</v>
      </c>
      <c r="D80">
        <v>2022</v>
      </c>
      <c r="E80" s="7">
        <v>14</v>
      </c>
      <c r="F80">
        <v>405</v>
      </c>
    </row>
    <row r="81" spans="1:6" x14ac:dyDescent="0.35">
      <c r="A81" t="s">
        <v>13</v>
      </c>
      <c r="B81" t="s">
        <v>22</v>
      </c>
      <c r="C81">
        <v>64272</v>
      </c>
      <c r="D81">
        <v>2023</v>
      </c>
      <c r="E81" s="7">
        <v>13</v>
      </c>
      <c r="F81">
        <v>171</v>
      </c>
    </row>
    <row r="82" spans="1:6" x14ac:dyDescent="0.35">
      <c r="A82" t="s">
        <v>14</v>
      </c>
      <c r="B82" t="s">
        <v>25</v>
      </c>
      <c r="C82">
        <v>37873</v>
      </c>
      <c r="D82">
        <v>2014</v>
      </c>
      <c r="E82" s="7">
        <v>56</v>
      </c>
      <c r="F82">
        <v>537</v>
      </c>
    </row>
    <row r="83" spans="1:6" x14ac:dyDescent="0.35">
      <c r="A83" t="s">
        <v>14</v>
      </c>
      <c r="B83" t="s">
        <v>25</v>
      </c>
      <c r="C83">
        <v>37299</v>
      </c>
      <c r="D83">
        <v>2015</v>
      </c>
      <c r="E83" s="7">
        <v>28</v>
      </c>
      <c r="F83">
        <v>442</v>
      </c>
    </row>
    <row r="84" spans="1:6" x14ac:dyDescent="0.35">
      <c r="A84" t="s">
        <v>14</v>
      </c>
      <c r="B84" t="s">
        <v>25</v>
      </c>
      <c r="C84">
        <v>38454</v>
      </c>
      <c r="D84">
        <v>2016</v>
      </c>
      <c r="E84" s="7">
        <v>40</v>
      </c>
      <c r="F84">
        <v>464</v>
      </c>
    </row>
    <row r="85" spans="1:6" x14ac:dyDescent="0.35">
      <c r="A85" t="s">
        <v>14</v>
      </c>
      <c r="B85" t="s">
        <v>25</v>
      </c>
      <c r="C85">
        <v>43580</v>
      </c>
      <c r="D85">
        <v>2017</v>
      </c>
      <c r="E85" s="7">
        <v>28</v>
      </c>
      <c r="F85">
        <v>481</v>
      </c>
    </row>
    <row r="86" spans="1:6" x14ac:dyDescent="0.35">
      <c r="A86" t="s">
        <v>14</v>
      </c>
      <c r="B86" t="s">
        <v>25</v>
      </c>
      <c r="C86">
        <v>47531</v>
      </c>
      <c r="D86">
        <v>2018</v>
      </c>
      <c r="E86" s="7">
        <v>42</v>
      </c>
      <c r="F86">
        <v>378</v>
      </c>
    </row>
    <row r="87" spans="1:6" x14ac:dyDescent="0.35">
      <c r="A87" t="s">
        <v>14</v>
      </c>
      <c r="B87" t="s">
        <v>25</v>
      </c>
      <c r="C87">
        <v>52593</v>
      </c>
      <c r="D87">
        <v>2019</v>
      </c>
      <c r="E87" s="7">
        <v>27</v>
      </c>
      <c r="F87">
        <v>264</v>
      </c>
    </row>
    <row r="88" spans="1:6" x14ac:dyDescent="0.35">
      <c r="A88" t="s">
        <v>14</v>
      </c>
      <c r="B88" t="s">
        <v>25</v>
      </c>
      <c r="C88">
        <v>52927</v>
      </c>
      <c r="D88">
        <v>2020</v>
      </c>
      <c r="E88" s="7">
        <v>41</v>
      </c>
      <c r="F88">
        <v>330</v>
      </c>
    </row>
    <row r="89" spans="1:6" x14ac:dyDescent="0.35">
      <c r="A89" t="s">
        <v>14</v>
      </c>
      <c r="B89" t="s">
        <v>25</v>
      </c>
      <c r="C89">
        <v>58440</v>
      </c>
      <c r="D89">
        <v>2021</v>
      </c>
      <c r="E89" s="7">
        <v>34</v>
      </c>
      <c r="F89">
        <v>352</v>
      </c>
    </row>
    <row r="90" spans="1:6" x14ac:dyDescent="0.35">
      <c r="A90" t="s">
        <v>14</v>
      </c>
      <c r="B90" t="s">
        <v>25</v>
      </c>
      <c r="C90">
        <v>64394</v>
      </c>
      <c r="D90">
        <v>2022</v>
      </c>
      <c r="E90" s="7">
        <v>48</v>
      </c>
      <c r="F90">
        <v>494</v>
      </c>
    </row>
    <row r="91" spans="1:6" x14ac:dyDescent="0.35">
      <c r="A91" t="s">
        <v>14</v>
      </c>
      <c r="B91" t="s">
        <v>25</v>
      </c>
      <c r="C91">
        <v>66341</v>
      </c>
      <c r="D91">
        <v>2023</v>
      </c>
      <c r="E91" s="7">
        <v>43</v>
      </c>
      <c r="F91">
        <v>505</v>
      </c>
    </row>
    <row r="92" spans="1:6" x14ac:dyDescent="0.35">
      <c r="A92" t="s">
        <v>15</v>
      </c>
      <c r="B92" t="s">
        <v>25</v>
      </c>
      <c r="C92">
        <v>37600</v>
      </c>
      <c r="D92">
        <v>2014</v>
      </c>
      <c r="E92" s="7">
        <v>45</v>
      </c>
      <c r="F92">
        <v>217</v>
      </c>
    </row>
    <row r="93" spans="1:6" x14ac:dyDescent="0.35">
      <c r="A93" t="s">
        <v>15</v>
      </c>
      <c r="B93" t="s">
        <v>25</v>
      </c>
      <c r="C93">
        <v>35386</v>
      </c>
      <c r="D93">
        <v>2015</v>
      </c>
      <c r="E93" s="7">
        <v>30</v>
      </c>
      <c r="F93">
        <v>340</v>
      </c>
    </row>
    <row r="94" spans="1:6" x14ac:dyDescent="0.35">
      <c r="A94" t="s">
        <v>15</v>
      </c>
      <c r="B94" t="s">
        <v>25</v>
      </c>
      <c r="C94">
        <v>44788</v>
      </c>
      <c r="D94">
        <v>2016</v>
      </c>
      <c r="E94" s="7">
        <v>45</v>
      </c>
      <c r="F94">
        <v>479</v>
      </c>
    </row>
    <row r="95" spans="1:6" x14ac:dyDescent="0.35">
      <c r="A95" t="s">
        <v>15</v>
      </c>
      <c r="B95" t="s">
        <v>25</v>
      </c>
      <c r="C95">
        <v>46132</v>
      </c>
      <c r="D95">
        <v>2017</v>
      </c>
      <c r="E95" s="7">
        <v>37</v>
      </c>
      <c r="F95">
        <v>344</v>
      </c>
    </row>
    <row r="96" spans="1:6" x14ac:dyDescent="0.35">
      <c r="A96" t="s">
        <v>15</v>
      </c>
      <c r="B96" t="s">
        <v>25</v>
      </c>
      <c r="C96">
        <v>47467</v>
      </c>
      <c r="D96">
        <v>2018</v>
      </c>
      <c r="E96" s="7">
        <v>20</v>
      </c>
      <c r="F96">
        <v>202</v>
      </c>
    </row>
    <row r="97" spans="1:6" x14ac:dyDescent="0.35">
      <c r="A97" t="s">
        <v>15</v>
      </c>
      <c r="B97" t="s">
        <v>25</v>
      </c>
      <c r="C97">
        <v>48226</v>
      </c>
      <c r="D97">
        <v>2019</v>
      </c>
      <c r="E97" s="7">
        <v>28</v>
      </c>
      <c r="F97">
        <v>367</v>
      </c>
    </row>
    <row r="98" spans="1:6" x14ac:dyDescent="0.35">
      <c r="A98" t="s">
        <v>15</v>
      </c>
      <c r="B98" t="s">
        <v>25</v>
      </c>
      <c r="C98">
        <v>56971</v>
      </c>
      <c r="D98">
        <v>2020</v>
      </c>
      <c r="E98" s="7">
        <v>15</v>
      </c>
      <c r="F98">
        <v>315</v>
      </c>
    </row>
    <row r="99" spans="1:6" x14ac:dyDescent="0.35">
      <c r="A99" t="s">
        <v>15</v>
      </c>
      <c r="B99" t="s">
        <v>25</v>
      </c>
      <c r="C99">
        <v>58223</v>
      </c>
      <c r="D99">
        <v>2021</v>
      </c>
      <c r="E99" s="7">
        <v>44</v>
      </c>
      <c r="F99">
        <v>308</v>
      </c>
    </row>
    <row r="100" spans="1:6" x14ac:dyDescent="0.35">
      <c r="A100" t="s">
        <v>15</v>
      </c>
      <c r="B100" t="s">
        <v>25</v>
      </c>
      <c r="C100">
        <v>56423</v>
      </c>
      <c r="D100">
        <v>2022</v>
      </c>
      <c r="E100" s="7">
        <v>51</v>
      </c>
      <c r="F100">
        <v>442</v>
      </c>
    </row>
    <row r="101" spans="1:6" x14ac:dyDescent="0.35">
      <c r="A101" t="s">
        <v>15</v>
      </c>
      <c r="B101" t="s">
        <v>25</v>
      </c>
      <c r="C101">
        <v>66048</v>
      </c>
      <c r="D101">
        <v>2023</v>
      </c>
      <c r="E101" s="7">
        <v>23</v>
      </c>
      <c r="F101">
        <v>298</v>
      </c>
    </row>
    <row r="102" spans="1:6" x14ac:dyDescent="0.35">
      <c r="A102" t="s">
        <v>16</v>
      </c>
      <c r="B102" t="s">
        <v>26</v>
      </c>
      <c r="C102">
        <v>37294</v>
      </c>
      <c r="D102">
        <v>2014</v>
      </c>
      <c r="E102" s="7">
        <v>58</v>
      </c>
      <c r="F102">
        <v>410</v>
      </c>
    </row>
    <row r="103" spans="1:6" x14ac:dyDescent="0.35">
      <c r="A103" t="s">
        <v>16</v>
      </c>
      <c r="B103" t="s">
        <v>26</v>
      </c>
      <c r="C103">
        <v>35192</v>
      </c>
      <c r="D103">
        <v>2015</v>
      </c>
      <c r="E103" s="7">
        <v>35</v>
      </c>
      <c r="F103">
        <v>176</v>
      </c>
    </row>
    <row r="104" spans="1:6" x14ac:dyDescent="0.35">
      <c r="A104" t="s">
        <v>16</v>
      </c>
      <c r="B104" t="s">
        <v>26</v>
      </c>
      <c r="C104">
        <v>36828</v>
      </c>
      <c r="D104">
        <v>2016</v>
      </c>
      <c r="E104" s="7">
        <v>50</v>
      </c>
      <c r="F104">
        <v>504</v>
      </c>
    </row>
    <row r="105" spans="1:6" x14ac:dyDescent="0.35">
      <c r="A105" t="s">
        <v>16</v>
      </c>
      <c r="B105" t="s">
        <v>26</v>
      </c>
      <c r="C105">
        <v>36880</v>
      </c>
      <c r="D105">
        <v>2017</v>
      </c>
      <c r="E105" s="7">
        <v>25</v>
      </c>
      <c r="F105">
        <v>446</v>
      </c>
    </row>
    <row r="106" spans="1:6" x14ac:dyDescent="0.35">
      <c r="A106" t="s">
        <v>16</v>
      </c>
      <c r="B106" t="s">
        <v>26</v>
      </c>
      <c r="C106">
        <v>47054</v>
      </c>
      <c r="D106">
        <v>2018</v>
      </c>
      <c r="E106" s="7">
        <v>17</v>
      </c>
      <c r="F106">
        <v>312</v>
      </c>
    </row>
    <row r="107" spans="1:6" x14ac:dyDescent="0.35">
      <c r="A107" t="s">
        <v>16</v>
      </c>
      <c r="B107" t="s">
        <v>26</v>
      </c>
      <c r="C107">
        <v>53908</v>
      </c>
      <c r="D107">
        <v>2019</v>
      </c>
      <c r="E107" s="7">
        <v>42</v>
      </c>
      <c r="F107">
        <v>547</v>
      </c>
    </row>
    <row r="108" spans="1:6" x14ac:dyDescent="0.35">
      <c r="A108" t="s">
        <v>16</v>
      </c>
      <c r="B108" t="s">
        <v>26</v>
      </c>
      <c r="C108">
        <v>66836</v>
      </c>
      <c r="D108">
        <v>2020</v>
      </c>
      <c r="E108" s="7">
        <v>58</v>
      </c>
      <c r="F108">
        <v>489</v>
      </c>
    </row>
    <row r="109" spans="1:6" x14ac:dyDescent="0.35">
      <c r="A109" t="s">
        <v>16</v>
      </c>
      <c r="B109" t="s">
        <v>26</v>
      </c>
      <c r="C109">
        <v>67415</v>
      </c>
      <c r="D109">
        <v>2021</v>
      </c>
      <c r="E109" s="7">
        <v>52</v>
      </c>
      <c r="F109">
        <v>337</v>
      </c>
    </row>
    <row r="110" spans="1:6" x14ac:dyDescent="0.35">
      <c r="A110" t="s">
        <v>16</v>
      </c>
      <c r="B110" t="s">
        <v>26</v>
      </c>
      <c r="C110">
        <v>67669</v>
      </c>
      <c r="D110">
        <v>2022</v>
      </c>
      <c r="E110" s="7">
        <v>31</v>
      </c>
      <c r="F110">
        <v>200</v>
      </c>
    </row>
    <row r="111" spans="1:6" x14ac:dyDescent="0.35">
      <c r="A111" t="s">
        <v>16</v>
      </c>
      <c r="B111" t="s">
        <v>26</v>
      </c>
      <c r="C111">
        <v>65562</v>
      </c>
      <c r="D111">
        <v>2023</v>
      </c>
      <c r="E111" s="7">
        <v>17</v>
      </c>
      <c r="F111">
        <v>278</v>
      </c>
    </row>
    <row r="112" spans="1:6" x14ac:dyDescent="0.35">
      <c r="A112" t="s">
        <v>17</v>
      </c>
      <c r="B112" t="s">
        <v>23</v>
      </c>
      <c r="C112">
        <v>34022</v>
      </c>
      <c r="D112">
        <v>2014</v>
      </c>
      <c r="E112" s="7">
        <v>27</v>
      </c>
      <c r="F112">
        <v>458</v>
      </c>
    </row>
    <row r="113" spans="1:6" x14ac:dyDescent="0.35">
      <c r="A113" t="s">
        <v>17</v>
      </c>
      <c r="B113" t="s">
        <v>23</v>
      </c>
      <c r="C113">
        <v>38492</v>
      </c>
      <c r="D113">
        <v>2015</v>
      </c>
      <c r="E113" s="7">
        <v>43</v>
      </c>
      <c r="F113">
        <v>418</v>
      </c>
    </row>
    <row r="114" spans="1:6" x14ac:dyDescent="0.35">
      <c r="A114" t="s">
        <v>17</v>
      </c>
      <c r="B114" t="s">
        <v>23</v>
      </c>
      <c r="C114">
        <v>37173</v>
      </c>
      <c r="D114">
        <v>2016</v>
      </c>
      <c r="E114" s="7">
        <v>34</v>
      </c>
      <c r="F114">
        <v>367</v>
      </c>
    </row>
    <row r="115" spans="1:6" x14ac:dyDescent="0.35">
      <c r="A115" t="s">
        <v>17</v>
      </c>
      <c r="B115" t="s">
        <v>23</v>
      </c>
      <c r="C115">
        <v>43111</v>
      </c>
      <c r="D115">
        <v>2017</v>
      </c>
      <c r="E115" s="7">
        <v>20</v>
      </c>
      <c r="F115">
        <v>393</v>
      </c>
    </row>
    <row r="116" spans="1:6" x14ac:dyDescent="0.35">
      <c r="A116" t="s">
        <v>17</v>
      </c>
      <c r="B116" t="s">
        <v>23</v>
      </c>
      <c r="C116">
        <v>45150</v>
      </c>
      <c r="D116">
        <v>2018</v>
      </c>
      <c r="E116" s="7">
        <v>32</v>
      </c>
      <c r="F116">
        <v>350</v>
      </c>
    </row>
    <row r="117" spans="1:6" x14ac:dyDescent="0.35">
      <c r="A117" t="s">
        <v>17</v>
      </c>
      <c r="B117" t="s">
        <v>23</v>
      </c>
      <c r="C117">
        <v>52769</v>
      </c>
      <c r="D117">
        <v>2019</v>
      </c>
      <c r="E117" s="7">
        <v>48</v>
      </c>
      <c r="F117">
        <v>151</v>
      </c>
    </row>
    <row r="118" spans="1:6" x14ac:dyDescent="0.35">
      <c r="A118" t="s">
        <v>17</v>
      </c>
      <c r="B118" t="s">
        <v>23</v>
      </c>
      <c r="C118">
        <v>54232</v>
      </c>
      <c r="D118">
        <v>2020</v>
      </c>
      <c r="E118" s="7">
        <v>17</v>
      </c>
      <c r="F118">
        <v>253</v>
      </c>
    </row>
    <row r="119" spans="1:6" x14ac:dyDescent="0.35">
      <c r="A119" t="s">
        <v>17</v>
      </c>
      <c r="B119" t="s">
        <v>23</v>
      </c>
      <c r="C119">
        <v>55307</v>
      </c>
      <c r="D119">
        <v>2021</v>
      </c>
      <c r="E119" s="7">
        <v>30</v>
      </c>
      <c r="F119">
        <v>503</v>
      </c>
    </row>
    <row r="120" spans="1:6" x14ac:dyDescent="0.35">
      <c r="A120" t="s">
        <v>17</v>
      </c>
      <c r="B120" t="s">
        <v>23</v>
      </c>
      <c r="C120">
        <v>65162</v>
      </c>
      <c r="D120">
        <v>2022</v>
      </c>
      <c r="E120" s="7">
        <v>47</v>
      </c>
      <c r="F120">
        <v>424</v>
      </c>
    </row>
    <row r="121" spans="1:6" x14ac:dyDescent="0.35">
      <c r="A121" t="s">
        <v>17</v>
      </c>
      <c r="B121" t="s">
        <v>23</v>
      </c>
      <c r="C121">
        <v>65315</v>
      </c>
      <c r="D121">
        <v>2023</v>
      </c>
      <c r="E121" s="7">
        <v>17</v>
      </c>
      <c r="F121">
        <v>346</v>
      </c>
    </row>
    <row r="122" spans="1:6" x14ac:dyDescent="0.35">
      <c r="A122" t="s">
        <v>18</v>
      </c>
      <c r="B122" t="s">
        <v>24</v>
      </c>
      <c r="C122">
        <v>35662</v>
      </c>
      <c r="D122">
        <v>2014</v>
      </c>
      <c r="E122" s="7">
        <v>51</v>
      </c>
      <c r="F122">
        <v>289</v>
      </c>
    </row>
    <row r="123" spans="1:6" x14ac:dyDescent="0.35">
      <c r="A123" t="s">
        <v>18</v>
      </c>
      <c r="B123" t="s">
        <v>24</v>
      </c>
      <c r="C123">
        <v>38070</v>
      </c>
      <c r="D123">
        <v>2015</v>
      </c>
      <c r="E123" s="7">
        <v>26</v>
      </c>
      <c r="F123">
        <v>213</v>
      </c>
    </row>
    <row r="124" spans="1:6" x14ac:dyDescent="0.35">
      <c r="A124" t="s">
        <v>18</v>
      </c>
      <c r="B124" t="s">
        <v>24</v>
      </c>
      <c r="C124">
        <v>36895</v>
      </c>
      <c r="D124">
        <v>2016</v>
      </c>
      <c r="E124" s="7">
        <v>53</v>
      </c>
      <c r="F124">
        <v>532</v>
      </c>
    </row>
    <row r="125" spans="1:6" x14ac:dyDescent="0.35">
      <c r="A125" t="s">
        <v>18</v>
      </c>
      <c r="B125" t="s">
        <v>24</v>
      </c>
      <c r="C125">
        <v>43624</v>
      </c>
      <c r="D125">
        <v>2017</v>
      </c>
      <c r="E125" s="7">
        <v>35</v>
      </c>
      <c r="F125">
        <v>153</v>
      </c>
    </row>
    <row r="126" spans="1:6" x14ac:dyDescent="0.35">
      <c r="A126" t="s">
        <v>18</v>
      </c>
      <c r="B126" t="s">
        <v>24</v>
      </c>
      <c r="C126">
        <v>54408</v>
      </c>
      <c r="D126">
        <v>2018</v>
      </c>
      <c r="E126" s="7">
        <v>16</v>
      </c>
      <c r="F126">
        <v>375</v>
      </c>
    </row>
    <row r="127" spans="1:6" x14ac:dyDescent="0.35">
      <c r="A127" t="s">
        <v>18</v>
      </c>
      <c r="B127" t="s">
        <v>24</v>
      </c>
      <c r="C127">
        <v>57942</v>
      </c>
      <c r="D127">
        <v>2019</v>
      </c>
      <c r="E127" s="7">
        <v>15</v>
      </c>
      <c r="F127">
        <v>581</v>
      </c>
    </row>
    <row r="128" spans="1:6" x14ac:dyDescent="0.35">
      <c r="A128" t="s">
        <v>18</v>
      </c>
      <c r="B128" t="s">
        <v>24</v>
      </c>
      <c r="C128">
        <v>66723</v>
      </c>
      <c r="D128">
        <v>2020</v>
      </c>
      <c r="E128" s="7">
        <v>22</v>
      </c>
      <c r="F128">
        <v>270</v>
      </c>
    </row>
    <row r="129" spans="1:6" x14ac:dyDescent="0.35">
      <c r="A129" t="s">
        <v>18</v>
      </c>
      <c r="B129" t="s">
        <v>24</v>
      </c>
      <c r="C129">
        <v>65060</v>
      </c>
      <c r="D129">
        <v>2021</v>
      </c>
      <c r="E129" s="7">
        <v>52</v>
      </c>
      <c r="F129">
        <v>478</v>
      </c>
    </row>
    <row r="130" spans="1:6" x14ac:dyDescent="0.35">
      <c r="A130" t="s">
        <v>18</v>
      </c>
      <c r="B130" t="s">
        <v>24</v>
      </c>
      <c r="C130">
        <v>62549</v>
      </c>
      <c r="D130">
        <v>2022</v>
      </c>
      <c r="E130" s="7">
        <v>33</v>
      </c>
      <c r="F130">
        <v>172</v>
      </c>
    </row>
    <row r="131" spans="1:6" x14ac:dyDescent="0.35">
      <c r="A131" t="s">
        <v>18</v>
      </c>
      <c r="B131" t="s">
        <v>24</v>
      </c>
      <c r="C131">
        <v>73199</v>
      </c>
      <c r="D131">
        <v>2023</v>
      </c>
      <c r="E131" s="7">
        <v>37</v>
      </c>
      <c r="F131">
        <v>409</v>
      </c>
    </row>
    <row r="132" spans="1:6" x14ac:dyDescent="0.35">
      <c r="A132" t="s">
        <v>19</v>
      </c>
      <c r="B132" t="s">
        <v>23</v>
      </c>
      <c r="C132">
        <v>33295</v>
      </c>
      <c r="D132">
        <v>2014</v>
      </c>
      <c r="E132" s="7">
        <v>29</v>
      </c>
      <c r="F132">
        <v>269</v>
      </c>
    </row>
    <row r="133" spans="1:6" x14ac:dyDescent="0.35">
      <c r="A133" t="s">
        <v>19</v>
      </c>
      <c r="B133" t="s">
        <v>23</v>
      </c>
      <c r="C133">
        <v>36865</v>
      </c>
      <c r="D133">
        <v>2015</v>
      </c>
      <c r="E133" s="7">
        <v>56</v>
      </c>
      <c r="F133">
        <v>183</v>
      </c>
    </row>
    <row r="134" spans="1:6" x14ac:dyDescent="0.35">
      <c r="A134" t="s">
        <v>19</v>
      </c>
      <c r="B134" t="s">
        <v>23</v>
      </c>
      <c r="C134">
        <v>37600</v>
      </c>
      <c r="D134">
        <v>2016</v>
      </c>
      <c r="E134" s="7">
        <v>24</v>
      </c>
      <c r="F134">
        <v>270</v>
      </c>
    </row>
    <row r="135" spans="1:6" x14ac:dyDescent="0.35">
      <c r="A135" t="s">
        <v>19</v>
      </c>
      <c r="B135" t="s">
        <v>23</v>
      </c>
      <c r="C135">
        <v>36912</v>
      </c>
      <c r="D135">
        <v>2017</v>
      </c>
      <c r="E135" s="7">
        <v>48</v>
      </c>
      <c r="F135">
        <v>580</v>
      </c>
    </row>
    <row r="136" spans="1:6" x14ac:dyDescent="0.35">
      <c r="A136" t="s">
        <v>19</v>
      </c>
      <c r="B136" t="s">
        <v>23</v>
      </c>
      <c r="C136">
        <v>43753</v>
      </c>
      <c r="D136">
        <v>2018</v>
      </c>
      <c r="E136" s="7">
        <v>22</v>
      </c>
      <c r="F136">
        <v>185</v>
      </c>
    </row>
    <row r="137" spans="1:6" x14ac:dyDescent="0.35">
      <c r="A137" t="s">
        <v>19</v>
      </c>
      <c r="B137" t="s">
        <v>23</v>
      </c>
      <c r="C137">
        <v>48389</v>
      </c>
      <c r="D137">
        <v>2019</v>
      </c>
      <c r="E137" s="7">
        <v>49</v>
      </c>
      <c r="F137">
        <v>428</v>
      </c>
    </row>
    <row r="138" spans="1:6" x14ac:dyDescent="0.35">
      <c r="A138" t="s">
        <v>19</v>
      </c>
      <c r="B138" t="s">
        <v>23</v>
      </c>
      <c r="C138">
        <v>55978</v>
      </c>
      <c r="D138">
        <v>2020</v>
      </c>
      <c r="E138" s="7">
        <v>28</v>
      </c>
      <c r="F138">
        <v>273</v>
      </c>
    </row>
    <row r="139" spans="1:6" x14ac:dyDescent="0.35">
      <c r="A139" t="s">
        <v>19</v>
      </c>
      <c r="B139" t="s">
        <v>23</v>
      </c>
      <c r="C139">
        <v>67060</v>
      </c>
      <c r="D139">
        <v>2021</v>
      </c>
      <c r="E139" s="7">
        <v>59</v>
      </c>
      <c r="F139">
        <v>346</v>
      </c>
    </row>
    <row r="140" spans="1:6" x14ac:dyDescent="0.35">
      <c r="A140" t="s">
        <v>19</v>
      </c>
      <c r="B140" t="s">
        <v>23</v>
      </c>
      <c r="C140">
        <v>63904</v>
      </c>
      <c r="D140">
        <v>2022</v>
      </c>
      <c r="E140" s="7">
        <v>40</v>
      </c>
      <c r="F140">
        <v>266</v>
      </c>
    </row>
    <row r="141" spans="1:6" x14ac:dyDescent="0.35">
      <c r="A141" t="s">
        <v>19</v>
      </c>
      <c r="B141" t="s">
        <v>23</v>
      </c>
      <c r="C141">
        <v>64276</v>
      </c>
      <c r="D141">
        <v>2023</v>
      </c>
      <c r="E141" s="7">
        <v>44</v>
      </c>
      <c r="F141">
        <v>237</v>
      </c>
    </row>
    <row r="142" spans="1:6" x14ac:dyDescent="0.35">
      <c r="A142" t="s">
        <v>20</v>
      </c>
      <c r="B142" t="s">
        <v>27</v>
      </c>
      <c r="C142">
        <v>34527</v>
      </c>
      <c r="D142">
        <v>2014</v>
      </c>
      <c r="E142" s="7">
        <v>33</v>
      </c>
      <c r="F142">
        <v>573</v>
      </c>
    </row>
    <row r="143" spans="1:6" x14ac:dyDescent="0.35">
      <c r="A143" t="s">
        <v>20</v>
      </c>
      <c r="B143" t="s">
        <v>27</v>
      </c>
      <c r="C143">
        <v>36803</v>
      </c>
      <c r="D143">
        <v>2015</v>
      </c>
      <c r="E143" s="7">
        <v>27</v>
      </c>
      <c r="F143">
        <v>515</v>
      </c>
    </row>
    <row r="144" spans="1:6" x14ac:dyDescent="0.35">
      <c r="A144" t="s">
        <v>20</v>
      </c>
      <c r="B144" t="s">
        <v>27</v>
      </c>
      <c r="C144">
        <v>46943</v>
      </c>
      <c r="D144">
        <v>2016</v>
      </c>
      <c r="E144" s="7">
        <v>56</v>
      </c>
      <c r="F144">
        <v>351</v>
      </c>
    </row>
    <row r="145" spans="1:6" x14ac:dyDescent="0.35">
      <c r="A145" t="s">
        <v>20</v>
      </c>
      <c r="B145" t="s">
        <v>27</v>
      </c>
      <c r="C145">
        <v>47869</v>
      </c>
      <c r="D145">
        <v>2017</v>
      </c>
      <c r="E145" s="7">
        <v>42</v>
      </c>
      <c r="F145">
        <v>335</v>
      </c>
    </row>
    <row r="146" spans="1:6" x14ac:dyDescent="0.35">
      <c r="A146" t="s">
        <v>20</v>
      </c>
      <c r="B146" t="s">
        <v>27</v>
      </c>
      <c r="C146">
        <v>56392</v>
      </c>
      <c r="D146">
        <v>2018</v>
      </c>
      <c r="E146" s="7">
        <v>59</v>
      </c>
      <c r="F146">
        <v>557</v>
      </c>
    </row>
    <row r="147" spans="1:6" x14ac:dyDescent="0.35">
      <c r="A147" t="s">
        <v>20</v>
      </c>
      <c r="B147" t="s">
        <v>27</v>
      </c>
      <c r="C147">
        <v>57045</v>
      </c>
      <c r="D147">
        <v>2019</v>
      </c>
      <c r="E147" s="7">
        <v>41</v>
      </c>
      <c r="F147">
        <v>233</v>
      </c>
    </row>
    <row r="148" spans="1:6" x14ac:dyDescent="0.35">
      <c r="A148" t="s">
        <v>20</v>
      </c>
      <c r="B148" t="s">
        <v>27</v>
      </c>
      <c r="C148">
        <v>66900</v>
      </c>
      <c r="D148">
        <v>2020</v>
      </c>
      <c r="E148" s="7">
        <v>23</v>
      </c>
      <c r="F148">
        <v>586</v>
      </c>
    </row>
    <row r="149" spans="1:6" x14ac:dyDescent="0.35">
      <c r="A149" t="s">
        <v>20</v>
      </c>
      <c r="B149" t="s">
        <v>27</v>
      </c>
      <c r="C149">
        <v>63311</v>
      </c>
      <c r="D149">
        <v>2021</v>
      </c>
      <c r="E149" s="7">
        <v>41</v>
      </c>
      <c r="F149">
        <v>430</v>
      </c>
    </row>
    <row r="150" spans="1:6" x14ac:dyDescent="0.35">
      <c r="A150" t="s">
        <v>20</v>
      </c>
      <c r="B150" t="s">
        <v>27</v>
      </c>
      <c r="C150">
        <v>66528</v>
      </c>
      <c r="D150">
        <v>2022</v>
      </c>
      <c r="E150" s="7">
        <v>26</v>
      </c>
      <c r="F150">
        <v>310</v>
      </c>
    </row>
    <row r="151" spans="1:6" x14ac:dyDescent="0.35">
      <c r="A151" t="s">
        <v>20</v>
      </c>
      <c r="B151" t="s">
        <v>27</v>
      </c>
      <c r="C151">
        <v>75305</v>
      </c>
      <c r="D151">
        <v>2023</v>
      </c>
      <c r="E151" s="7">
        <v>39</v>
      </c>
      <c r="F151">
        <v>553</v>
      </c>
    </row>
    <row r="152" spans="1:6" x14ac:dyDescent="0.35">
      <c r="A152" t="s">
        <v>21</v>
      </c>
      <c r="B152" t="s">
        <v>23</v>
      </c>
      <c r="C152">
        <v>35324</v>
      </c>
      <c r="D152">
        <v>2014</v>
      </c>
      <c r="E152" s="7">
        <v>31</v>
      </c>
      <c r="F152">
        <v>416</v>
      </c>
    </row>
    <row r="153" spans="1:6" x14ac:dyDescent="0.35">
      <c r="A153" t="s">
        <v>21</v>
      </c>
      <c r="B153" t="s">
        <v>23</v>
      </c>
      <c r="C153">
        <v>35162</v>
      </c>
      <c r="D153">
        <v>2015</v>
      </c>
      <c r="E153" s="7">
        <v>32</v>
      </c>
      <c r="F153">
        <v>469</v>
      </c>
    </row>
    <row r="154" spans="1:6" x14ac:dyDescent="0.35">
      <c r="A154" t="s">
        <v>21</v>
      </c>
      <c r="B154" t="s">
        <v>23</v>
      </c>
      <c r="C154">
        <v>47293</v>
      </c>
      <c r="D154">
        <v>2016</v>
      </c>
      <c r="E154" s="7">
        <v>56</v>
      </c>
      <c r="F154">
        <v>246</v>
      </c>
    </row>
    <row r="155" spans="1:6" x14ac:dyDescent="0.35">
      <c r="A155" t="s">
        <v>21</v>
      </c>
      <c r="B155" t="s">
        <v>23</v>
      </c>
      <c r="C155">
        <v>48076</v>
      </c>
      <c r="D155">
        <v>2017</v>
      </c>
      <c r="E155" s="7">
        <v>48</v>
      </c>
      <c r="F155">
        <v>189</v>
      </c>
    </row>
    <row r="156" spans="1:6" x14ac:dyDescent="0.35">
      <c r="A156" t="s">
        <v>21</v>
      </c>
      <c r="B156" t="s">
        <v>23</v>
      </c>
      <c r="C156">
        <v>45701</v>
      </c>
      <c r="D156">
        <v>2018</v>
      </c>
      <c r="E156" s="7">
        <v>24</v>
      </c>
      <c r="F156">
        <v>555</v>
      </c>
    </row>
    <row r="157" spans="1:6" x14ac:dyDescent="0.35">
      <c r="A157" t="s">
        <v>21</v>
      </c>
      <c r="B157" t="s">
        <v>23</v>
      </c>
      <c r="C157">
        <v>43776</v>
      </c>
      <c r="D157">
        <v>2019</v>
      </c>
      <c r="E157" s="7">
        <v>23</v>
      </c>
      <c r="F157">
        <v>267</v>
      </c>
    </row>
    <row r="158" spans="1:6" x14ac:dyDescent="0.35">
      <c r="A158" t="s">
        <v>21</v>
      </c>
      <c r="B158" t="s">
        <v>23</v>
      </c>
      <c r="C158">
        <v>46013</v>
      </c>
      <c r="D158">
        <v>2020</v>
      </c>
      <c r="E158" s="7">
        <v>58</v>
      </c>
      <c r="F158">
        <v>362</v>
      </c>
    </row>
    <row r="159" spans="1:6" x14ac:dyDescent="0.35">
      <c r="A159" t="s">
        <v>21</v>
      </c>
      <c r="B159" t="s">
        <v>23</v>
      </c>
      <c r="C159">
        <v>55442</v>
      </c>
      <c r="D159">
        <v>2021</v>
      </c>
      <c r="E159" s="7">
        <v>36</v>
      </c>
      <c r="F159">
        <v>282</v>
      </c>
    </row>
    <row r="160" spans="1:6" x14ac:dyDescent="0.35">
      <c r="A160" t="s">
        <v>21</v>
      </c>
      <c r="B160" t="s">
        <v>23</v>
      </c>
      <c r="C160">
        <v>66480</v>
      </c>
      <c r="D160">
        <v>2022</v>
      </c>
      <c r="E160" s="7">
        <v>20</v>
      </c>
      <c r="F160">
        <v>494</v>
      </c>
    </row>
    <row r="161" spans="1:6" x14ac:dyDescent="0.35">
      <c r="A161" t="s">
        <v>21</v>
      </c>
      <c r="B161" t="s">
        <v>23</v>
      </c>
      <c r="C161">
        <v>77236</v>
      </c>
      <c r="D161">
        <v>2023</v>
      </c>
      <c r="E161" s="7">
        <v>25</v>
      </c>
      <c r="F161">
        <v>580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5D01-B1B0-43B1-8342-63FBAC5A898D}">
  <dimension ref="A1:R3"/>
  <sheetViews>
    <sheetView workbookViewId="0">
      <selection activeCell="J23" sqref="J23"/>
    </sheetView>
  </sheetViews>
  <sheetFormatPr defaultRowHeight="14.5" x14ac:dyDescent="0.35"/>
  <cols>
    <col min="1" max="1" width="6.453125" bestFit="1" customWidth="1"/>
    <col min="2" max="2" width="15.26953125" bestFit="1" customWidth="1"/>
    <col min="3" max="3" width="11.6328125" bestFit="1" customWidth="1"/>
    <col min="4" max="4" width="16.54296875" bestFit="1" customWidth="1"/>
    <col min="5" max="5" width="13.453125" bestFit="1" customWidth="1"/>
    <col min="6" max="6" width="14.26953125" bestFit="1" customWidth="1"/>
    <col min="7" max="7" width="17.6328125" bestFit="1" customWidth="1"/>
    <col min="8" max="8" width="17.1796875" bestFit="1" customWidth="1"/>
    <col min="9" max="9" width="15.36328125" bestFit="1" customWidth="1"/>
    <col min="10" max="10" width="20.6328125" bestFit="1" customWidth="1"/>
    <col min="11" max="11" width="13.90625" bestFit="1" customWidth="1"/>
    <col min="12" max="12" width="12" bestFit="1" customWidth="1"/>
    <col min="13" max="13" width="15.1796875" bestFit="1" customWidth="1"/>
    <col min="14" max="14" width="17" bestFit="1" customWidth="1"/>
    <col min="15" max="15" width="14.90625" bestFit="1" customWidth="1"/>
    <col min="16" max="16" width="19.26953125" bestFit="1" customWidth="1"/>
    <col min="17" max="17" width="10.453125" bestFit="1" customWidth="1"/>
    <col min="18" max="18" width="10.7265625" bestFit="1" customWidth="1"/>
  </cols>
  <sheetData>
    <row r="1" spans="1:18" x14ac:dyDescent="0.35">
      <c r="B1" s="9" t="s">
        <v>34</v>
      </c>
    </row>
    <row r="2" spans="1:18" x14ac:dyDescent="0.35">
      <c r="B2" t="s">
        <v>11</v>
      </c>
      <c r="C2" t="s">
        <v>9</v>
      </c>
      <c r="D2" t="s">
        <v>13</v>
      </c>
      <c r="E2" t="s">
        <v>18</v>
      </c>
      <c r="F2" t="s">
        <v>16</v>
      </c>
      <c r="G2" t="s">
        <v>6</v>
      </c>
      <c r="H2" t="s">
        <v>12</v>
      </c>
      <c r="I2" t="s">
        <v>19</v>
      </c>
      <c r="J2" t="s">
        <v>14</v>
      </c>
      <c r="K2" t="s">
        <v>7</v>
      </c>
      <c r="L2" t="s">
        <v>15</v>
      </c>
      <c r="M2" t="s">
        <v>21</v>
      </c>
      <c r="N2" t="s">
        <v>10</v>
      </c>
      <c r="O2" t="s">
        <v>8</v>
      </c>
      <c r="P2" t="s">
        <v>17</v>
      </c>
      <c r="Q2" t="s">
        <v>20</v>
      </c>
      <c r="R2" t="s">
        <v>35</v>
      </c>
    </row>
    <row r="3" spans="1:18" x14ac:dyDescent="0.35">
      <c r="A3" t="s">
        <v>36</v>
      </c>
      <c r="B3" s="4">
        <v>76200</v>
      </c>
      <c r="C3" s="4">
        <v>65520</v>
      </c>
      <c r="D3" s="4">
        <v>84600</v>
      </c>
      <c r="E3" s="4">
        <v>73400</v>
      </c>
      <c r="F3" s="4">
        <v>65000</v>
      </c>
      <c r="G3" s="4">
        <v>82463</v>
      </c>
      <c r="H3" s="4">
        <v>88100</v>
      </c>
      <c r="I3" s="4">
        <v>55000</v>
      </c>
      <c r="J3" s="4">
        <v>76800</v>
      </c>
      <c r="K3" s="4">
        <v>80401</v>
      </c>
      <c r="L3" s="4">
        <v>62550</v>
      </c>
      <c r="M3" s="4">
        <v>75100</v>
      </c>
      <c r="N3" s="4">
        <v>74200</v>
      </c>
      <c r="O3" s="4">
        <v>67080</v>
      </c>
      <c r="P3" s="4">
        <v>65400</v>
      </c>
      <c r="Q3" s="4">
        <v>65300</v>
      </c>
      <c r="R3" s="4">
        <v>1157114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86CB1-C9D5-43F7-9836-C7E2D656CC8C}">
  <dimension ref="A1:E17"/>
  <sheetViews>
    <sheetView zoomScale="58" zoomScaleNormal="58" workbookViewId="0">
      <selection activeCell="O29" sqref="O29"/>
    </sheetView>
  </sheetViews>
  <sheetFormatPr defaultRowHeight="14.5" x14ac:dyDescent="0.35"/>
  <cols>
    <col min="1" max="1" width="14.1796875" bestFit="1" customWidth="1"/>
    <col min="2" max="2" width="23" customWidth="1"/>
    <col min="3" max="3" width="19.7265625" customWidth="1"/>
    <col min="4" max="4" width="27.54296875" customWidth="1"/>
    <col min="5" max="5" width="26.6328125" customWidth="1"/>
  </cols>
  <sheetData>
    <row r="1" spans="1:5" x14ac:dyDescent="0.35">
      <c r="A1" s="2" t="s">
        <v>28</v>
      </c>
      <c r="B1" s="2" t="s">
        <v>32</v>
      </c>
      <c r="C1" s="2" t="s">
        <v>29</v>
      </c>
      <c r="D1" s="2" t="s">
        <v>30</v>
      </c>
      <c r="E1" s="2" t="s">
        <v>31</v>
      </c>
    </row>
    <row r="2" spans="1:5" ht="29" hidden="1" x14ac:dyDescent="0.35">
      <c r="A2" s="3" t="s">
        <v>6</v>
      </c>
      <c r="B2" s="5">
        <v>82463</v>
      </c>
      <c r="C2" s="5">
        <v>85313</v>
      </c>
      <c r="D2" s="8">
        <v>27.22</v>
      </c>
      <c r="E2" s="8">
        <v>28.33</v>
      </c>
    </row>
    <row r="3" spans="1:5" hidden="1" x14ac:dyDescent="0.35">
      <c r="A3" s="3" t="s">
        <v>7</v>
      </c>
      <c r="B3" s="5">
        <v>80401</v>
      </c>
      <c r="C3" s="5">
        <v>83416</v>
      </c>
      <c r="D3" s="8">
        <v>12</v>
      </c>
      <c r="E3" s="8">
        <v>12.33</v>
      </c>
    </row>
    <row r="4" spans="1:5" ht="29" hidden="1" x14ac:dyDescent="0.35">
      <c r="A4" s="3" t="s">
        <v>8</v>
      </c>
      <c r="B4" s="5">
        <v>67080</v>
      </c>
      <c r="C4" s="5">
        <v>69000</v>
      </c>
      <c r="D4" s="8">
        <v>31</v>
      </c>
      <c r="E4" s="8">
        <v>32</v>
      </c>
    </row>
    <row r="5" spans="1:5" hidden="1" x14ac:dyDescent="0.35">
      <c r="A5" s="3" t="s">
        <v>9</v>
      </c>
      <c r="B5" s="5">
        <v>65520</v>
      </c>
      <c r="C5" s="5">
        <v>65640</v>
      </c>
      <c r="D5" s="8">
        <v>41</v>
      </c>
      <c r="E5" s="8">
        <v>42</v>
      </c>
    </row>
    <row r="6" spans="1:5" ht="29" x14ac:dyDescent="0.35">
      <c r="A6" s="3" t="s">
        <v>10</v>
      </c>
      <c r="B6" s="5">
        <v>74200</v>
      </c>
      <c r="C6" s="5">
        <v>64350</v>
      </c>
      <c r="D6" s="8">
        <v>12.5</v>
      </c>
      <c r="E6" s="8">
        <v>13</v>
      </c>
    </row>
    <row r="7" spans="1:5" hidden="1" x14ac:dyDescent="0.35">
      <c r="A7" s="3" t="s">
        <v>11</v>
      </c>
      <c r="B7" s="5">
        <v>76200</v>
      </c>
      <c r="C7" s="5">
        <v>63000</v>
      </c>
      <c r="D7" s="8">
        <v>42</v>
      </c>
      <c r="E7" s="8">
        <v>43</v>
      </c>
    </row>
    <row r="8" spans="1:5" ht="29" hidden="1" x14ac:dyDescent="0.35">
      <c r="A8" s="3" t="s">
        <v>12</v>
      </c>
      <c r="B8" s="5">
        <v>88100</v>
      </c>
      <c r="C8" s="5">
        <v>68250</v>
      </c>
      <c r="D8" s="8">
        <v>42</v>
      </c>
      <c r="E8" s="8">
        <v>43</v>
      </c>
    </row>
    <row r="9" spans="1:5" ht="29" hidden="1" x14ac:dyDescent="0.35">
      <c r="A9" s="3" t="s">
        <v>13</v>
      </c>
      <c r="B9" s="5">
        <v>84600</v>
      </c>
      <c r="C9" s="5">
        <v>64750</v>
      </c>
      <c r="D9" s="8">
        <v>14</v>
      </c>
      <c r="E9" s="8">
        <v>15</v>
      </c>
    </row>
    <row r="10" spans="1:5" ht="29" hidden="1" x14ac:dyDescent="0.35">
      <c r="A10" s="3" t="s">
        <v>14</v>
      </c>
      <c r="B10" s="5">
        <v>76800</v>
      </c>
      <c r="C10" s="5">
        <v>69500</v>
      </c>
      <c r="D10" s="8">
        <v>46</v>
      </c>
      <c r="E10" s="8">
        <v>47</v>
      </c>
    </row>
    <row r="11" spans="1:5" hidden="1" x14ac:dyDescent="0.35">
      <c r="A11" s="3" t="s">
        <v>15</v>
      </c>
      <c r="B11" s="5">
        <v>62550</v>
      </c>
      <c r="C11" s="5">
        <v>63500</v>
      </c>
      <c r="D11" s="8">
        <v>24</v>
      </c>
      <c r="E11" s="8">
        <v>25</v>
      </c>
    </row>
    <row r="12" spans="1:5" ht="29" hidden="1" x14ac:dyDescent="0.35">
      <c r="A12" s="3" t="s">
        <v>16</v>
      </c>
      <c r="B12" s="5">
        <v>65000</v>
      </c>
      <c r="C12" s="5">
        <v>66500</v>
      </c>
      <c r="D12" s="8">
        <v>18.5</v>
      </c>
      <c r="E12" s="8">
        <v>19</v>
      </c>
    </row>
    <row r="13" spans="1:5" ht="29" hidden="1" x14ac:dyDescent="0.35">
      <c r="A13" s="3" t="s">
        <v>17</v>
      </c>
      <c r="B13" s="5">
        <v>65400</v>
      </c>
      <c r="C13" s="5">
        <v>75500</v>
      </c>
      <c r="D13" s="8">
        <v>16.5</v>
      </c>
      <c r="E13" s="8">
        <v>17</v>
      </c>
    </row>
    <row r="14" spans="1:5" hidden="1" x14ac:dyDescent="0.35">
      <c r="A14" s="3" t="s">
        <v>18</v>
      </c>
      <c r="B14" s="5">
        <v>73400</v>
      </c>
      <c r="C14" s="5">
        <v>63500</v>
      </c>
      <c r="D14" s="8">
        <v>37</v>
      </c>
      <c r="E14" s="8">
        <v>38</v>
      </c>
    </row>
    <row r="15" spans="1:5" ht="29" hidden="1" x14ac:dyDescent="0.35">
      <c r="A15" s="3" t="s">
        <v>19</v>
      </c>
      <c r="B15" s="5">
        <v>55000</v>
      </c>
      <c r="C15" s="5">
        <v>65150</v>
      </c>
      <c r="D15" s="8">
        <v>46</v>
      </c>
      <c r="E15" s="8">
        <v>47</v>
      </c>
    </row>
    <row r="16" spans="1:5" hidden="1" x14ac:dyDescent="0.35">
      <c r="A16" s="3" t="s">
        <v>20</v>
      </c>
      <c r="B16" s="5">
        <v>65300</v>
      </c>
      <c r="C16" s="5">
        <v>65400</v>
      </c>
      <c r="D16" s="8">
        <v>43</v>
      </c>
      <c r="E16" s="8">
        <v>44</v>
      </c>
    </row>
    <row r="17" spans="1:5" ht="29" hidden="1" x14ac:dyDescent="0.35">
      <c r="A17" s="3" t="s">
        <v>21</v>
      </c>
      <c r="B17" s="5">
        <v>75100</v>
      </c>
      <c r="C17" s="5">
        <v>71700</v>
      </c>
      <c r="D17" s="8">
        <v>28</v>
      </c>
      <c r="E17" s="8">
        <v>29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A8EF-0FBD-41E7-8354-0A3DE78AD634}">
  <dimension ref="E2"/>
  <sheetViews>
    <sheetView showGridLines="0" tabSelected="1" zoomScale="50" workbookViewId="0">
      <selection activeCell="AK14" sqref="AK14"/>
    </sheetView>
  </sheetViews>
  <sheetFormatPr defaultRowHeight="14.5" x14ac:dyDescent="0.35"/>
  <cols>
    <col min="5" max="5" width="8.7265625" customWidth="1"/>
  </cols>
  <sheetData>
    <row r="2" spans="5:5" x14ac:dyDescent="0.35">
      <c r="E2" t="s">
        <v>33</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Sheet7</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yeman rana</cp:lastModifiedBy>
  <dcterms:created xsi:type="dcterms:W3CDTF">2024-11-17T17:20:04Z</dcterms:created>
  <dcterms:modified xsi:type="dcterms:W3CDTF">2026-05-30T18:38:27Z</dcterms:modified>
</cp:coreProperties>
</file>